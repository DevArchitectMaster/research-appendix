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1"/>
  <workbookPr filterPrivacy="1"/>
  <xr:revisionPtr revIDLastSave="0" documentId="13_ncr:1_{29D23BE9-5A58-47BC-B8ED-ED03BF58C631}" xr6:coauthVersionLast="36" xr6:coauthVersionMax="36" xr10:uidLastSave="{00000000-0000-0000-0000-000000000000}"/>
  <bookViews>
    <workbookView xWindow="0" yWindow="0" windowWidth="11520" windowHeight="5370" xr2:uid="{00000000-000D-0000-FFFF-FFFF00000000}"/>
  </bookViews>
  <sheets>
    <sheet name="full Text" sheetId="10" r:id="rId1"/>
    <sheet name="Metadata, Title, Keywords &amp; Abs" sheetId="1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2" i="11" l="1"/>
  <c r="K52" i="11"/>
  <c r="J52" i="11"/>
  <c r="I52" i="11"/>
  <c r="N52" i="10"/>
  <c r="K52" i="10"/>
  <c r="J52" i="10"/>
  <c r="I52" i="10"/>
  <c r="X53" i="10" l="1"/>
  <c r="AB50" i="11"/>
  <c r="Y50" i="11"/>
  <c r="X53" i="11"/>
  <c r="W50" i="11"/>
  <c r="AB50" i="10"/>
  <c r="Y50" i="10"/>
  <c r="W50" i="10"/>
  <c r="B52" i="10" l="1"/>
  <c r="B53" i="10" s="1"/>
  <c r="C52" i="10"/>
  <c r="D52" i="10"/>
  <c r="D53" i="10" s="1"/>
  <c r="G52" i="10"/>
  <c r="P49" i="10"/>
  <c r="Q49" i="10"/>
  <c r="Q53" i="10"/>
  <c r="U49" i="10"/>
  <c r="U53" i="10" s="1"/>
  <c r="R49" i="10"/>
  <c r="Y52" i="10"/>
  <c r="Z42" i="10"/>
  <c r="Z15" i="10"/>
  <c r="Z16" i="10"/>
  <c r="Z17" i="10"/>
  <c r="Z18" i="10"/>
  <c r="Z19" i="10"/>
  <c r="Z20" i="10"/>
  <c r="Z21" i="10"/>
  <c r="Z22" i="10"/>
  <c r="Z23" i="10"/>
  <c r="Z24" i="10"/>
  <c r="Z25" i="10"/>
  <c r="Z26" i="10"/>
  <c r="Z27" i="10"/>
  <c r="Z28" i="10"/>
  <c r="Z29" i="10"/>
  <c r="Z30" i="10"/>
  <c r="Z31" i="10"/>
  <c r="Z32" i="10"/>
  <c r="Z33" i="10"/>
  <c r="Z34" i="10"/>
  <c r="Z35" i="10"/>
  <c r="Z36" i="10"/>
  <c r="Z37" i="10"/>
  <c r="Z38" i="10"/>
  <c r="Z39" i="10"/>
  <c r="Z14" i="10"/>
  <c r="S15" i="10"/>
  <c r="S16" i="10"/>
  <c r="S17" i="10"/>
  <c r="S18" i="10"/>
  <c r="S19" i="10"/>
  <c r="S20" i="10"/>
  <c r="S21" i="10"/>
  <c r="S22" i="10"/>
  <c r="S23" i="10"/>
  <c r="S24" i="10"/>
  <c r="S25" i="10"/>
  <c r="S26" i="10"/>
  <c r="S27" i="10"/>
  <c r="S28" i="10"/>
  <c r="S29" i="10"/>
  <c r="S30" i="10"/>
  <c r="S31" i="10"/>
  <c r="S32" i="10"/>
  <c r="S33" i="10"/>
  <c r="S34" i="10"/>
  <c r="S35" i="10"/>
  <c r="S36" i="10"/>
  <c r="S37" i="10"/>
  <c r="S38" i="10"/>
  <c r="S39" i="10"/>
  <c r="S14" i="10"/>
  <c r="S42" i="10"/>
  <c r="L42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14" i="10"/>
  <c r="E42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14" i="10"/>
  <c r="AB52" i="10"/>
  <c r="AB53" i="10" s="1"/>
  <c r="X52" i="10"/>
  <c r="X50" i="10"/>
  <c r="R53" i="10"/>
  <c r="P53" i="10"/>
  <c r="K53" i="10"/>
  <c r="N53" i="10"/>
  <c r="J53" i="10"/>
  <c r="I53" i="10"/>
  <c r="G53" i="10"/>
  <c r="C53" i="10"/>
  <c r="W52" i="10"/>
  <c r="W53" i="10" s="1"/>
  <c r="AB52" i="11"/>
  <c r="Y52" i="11"/>
  <c r="X50" i="11"/>
  <c r="X52" i="11"/>
  <c r="W52" i="11"/>
  <c r="G52" i="11"/>
  <c r="D52" i="11"/>
  <c r="C52" i="11"/>
  <c r="L41" i="10" l="1"/>
  <c r="E41" i="10"/>
  <c r="Z41" i="10"/>
  <c r="Y53" i="10"/>
  <c r="S41" i="10"/>
  <c r="AB53" i="11"/>
  <c r="Y53" i="11"/>
  <c r="W53" i="11"/>
  <c r="V53" i="11"/>
  <c r="U53" i="11"/>
  <c r="R53" i="11"/>
  <c r="Q53" i="11"/>
  <c r="P53" i="11"/>
  <c r="N53" i="11"/>
  <c r="K53" i="11"/>
  <c r="J53" i="11"/>
  <c r="I53" i="11"/>
  <c r="G53" i="11"/>
  <c r="D53" i="11"/>
  <c r="C53" i="11"/>
  <c r="B53" i="11"/>
  <c r="AB54" i="10"/>
  <c r="Y54" i="10"/>
  <c r="X54" i="10"/>
  <c r="W54" i="10"/>
  <c r="U54" i="10"/>
  <c r="R54" i="10"/>
  <c r="Q54" i="10"/>
  <c r="P54" i="10"/>
  <c r="N54" i="10"/>
  <c r="K54" i="10"/>
  <c r="J54" i="10"/>
  <c r="I54" i="10"/>
  <c r="G54" i="10"/>
  <c r="D54" i="10"/>
  <c r="C54" i="10"/>
  <c r="B54" i="10"/>
  <c r="AB54" i="11"/>
  <c r="Y54" i="11"/>
  <c r="X54" i="11"/>
  <c r="W54" i="11"/>
  <c r="U54" i="11"/>
  <c r="R54" i="11"/>
  <c r="Q54" i="11"/>
  <c r="P54" i="11"/>
  <c r="N54" i="11"/>
  <c r="K54" i="11"/>
  <c r="J54" i="11"/>
  <c r="I54" i="11"/>
  <c r="G54" i="11"/>
  <c r="D54" i="11"/>
  <c r="C54" i="11"/>
  <c r="B54" i="11"/>
  <c r="B52" i="11"/>
  <c r="AC15" i="10"/>
  <c r="AC16" i="10"/>
  <c r="AC17" i="10"/>
  <c r="AC18" i="10"/>
  <c r="AC19" i="10"/>
  <c r="AC20" i="10"/>
  <c r="AC21" i="10"/>
  <c r="AC22" i="10"/>
  <c r="AC23" i="10"/>
  <c r="AC24" i="10"/>
  <c r="AC25" i="10"/>
  <c r="AC26" i="10"/>
  <c r="AC27" i="10"/>
  <c r="AC28" i="10"/>
  <c r="AC29" i="10"/>
  <c r="AC30" i="10"/>
  <c r="AC31" i="10"/>
  <c r="AC32" i="10"/>
  <c r="AC33" i="10"/>
  <c r="AC34" i="10"/>
  <c r="AC35" i="10"/>
  <c r="AC36" i="10"/>
  <c r="AC37" i="10"/>
  <c r="AC38" i="10"/>
  <c r="AC39" i="10"/>
  <c r="AC14" i="10"/>
  <c r="V15" i="10"/>
  <c r="V16" i="10"/>
  <c r="V17" i="10"/>
  <c r="V18" i="10"/>
  <c r="V19" i="10"/>
  <c r="V20" i="10"/>
  <c r="V21" i="10"/>
  <c r="V22" i="10"/>
  <c r="V23" i="10"/>
  <c r="V24" i="10"/>
  <c r="V25" i="10"/>
  <c r="V26" i="10"/>
  <c r="V27" i="10"/>
  <c r="V28" i="10"/>
  <c r="V29" i="10"/>
  <c r="V30" i="10"/>
  <c r="V31" i="10"/>
  <c r="V32" i="10"/>
  <c r="V33" i="10"/>
  <c r="V34" i="10"/>
  <c r="V35" i="10"/>
  <c r="V36" i="10"/>
  <c r="V37" i="10"/>
  <c r="V38" i="10"/>
  <c r="V39" i="10"/>
  <c r="V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14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14" i="10"/>
  <c r="H15" i="10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14" i="11"/>
  <c r="H15" i="11"/>
  <c r="H16" i="11"/>
  <c r="H17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14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30" i="11"/>
  <c r="V31" i="11"/>
  <c r="V32" i="11"/>
  <c r="V33" i="11"/>
  <c r="V34" i="11"/>
  <c r="V35" i="11"/>
  <c r="V36" i="11"/>
  <c r="V37" i="11"/>
  <c r="V38" i="11"/>
  <c r="V39" i="11"/>
  <c r="V14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28" i="11"/>
  <c r="AC29" i="11"/>
  <c r="AC30" i="11"/>
  <c r="AC31" i="11"/>
  <c r="AC32" i="11"/>
  <c r="AC33" i="11"/>
  <c r="AC34" i="11"/>
  <c r="AC35" i="11"/>
  <c r="AC36" i="11"/>
  <c r="AC37" i="11"/>
  <c r="AC38" i="11"/>
  <c r="AC39" i="11"/>
  <c r="Z42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30" i="11"/>
  <c r="Z31" i="11"/>
  <c r="Z32" i="11"/>
  <c r="Z33" i="11"/>
  <c r="Z34" i="11"/>
  <c r="Z35" i="11"/>
  <c r="Z36" i="11"/>
  <c r="Z37" i="11"/>
  <c r="Z38" i="11"/>
  <c r="Z39" i="11"/>
  <c r="Z14" i="11"/>
  <c r="S42" i="11"/>
  <c r="S15" i="11"/>
  <c r="S16" i="1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30" i="11"/>
  <c r="S31" i="11"/>
  <c r="S32" i="11"/>
  <c r="S33" i="11"/>
  <c r="S34" i="11"/>
  <c r="S35" i="11"/>
  <c r="S36" i="11"/>
  <c r="S37" i="11"/>
  <c r="S38" i="11"/>
  <c r="S39" i="11"/>
  <c r="S14" i="11"/>
  <c r="L42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14" i="11"/>
  <c r="E42" i="11"/>
  <c r="F42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14" i="11"/>
  <c r="E41" i="11" l="1"/>
  <c r="S41" i="11"/>
  <c r="L41" i="11"/>
  <c r="Z41" i="11"/>
  <c r="AA42" i="11"/>
  <c r="T42" i="11"/>
  <c r="M42" i="11"/>
  <c r="AB41" i="11"/>
  <c r="Y41" i="11"/>
  <c r="X41" i="11"/>
  <c r="W41" i="11"/>
  <c r="U41" i="11"/>
  <c r="R41" i="11"/>
  <c r="Q41" i="11"/>
  <c r="P41" i="11"/>
  <c r="N41" i="11"/>
  <c r="K41" i="11"/>
  <c r="J41" i="11"/>
  <c r="I41" i="11"/>
  <c r="G41" i="11"/>
  <c r="D41" i="11"/>
  <c r="C41" i="11"/>
  <c r="B41" i="11"/>
  <c r="AA39" i="11"/>
  <c r="T39" i="11"/>
  <c r="M39" i="11"/>
  <c r="F39" i="11"/>
  <c r="AA38" i="11"/>
  <c r="T38" i="11"/>
  <c r="M38" i="11"/>
  <c r="F38" i="11"/>
  <c r="AA37" i="11"/>
  <c r="T37" i="11"/>
  <c r="M37" i="11"/>
  <c r="F37" i="11"/>
  <c r="AA36" i="11"/>
  <c r="T36" i="11"/>
  <c r="M36" i="11"/>
  <c r="F36" i="11"/>
  <c r="AA35" i="11"/>
  <c r="T35" i="11"/>
  <c r="M35" i="11"/>
  <c r="F35" i="11"/>
  <c r="AA34" i="11"/>
  <c r="T34" i="11"/>
  <c r="M34" i="11"/>
  <c r="F34" i="11"/>
  <c r="AA33" i="11"/>
  <c r="T33" i="11"/>
  <c r="M33" i="11"/>
  <c r="F33" i="11"/>
  <c r="AA32" i="11"/>
  <c r="T32" i="11"/>
  <c r="M32" i="11"/>
  <c r="F32" i="11"/>
  <c r="AA31" i="11"/>
  <c r="T31" i="11"/>
  <c r="M31" i="11"/>
  <c r="F31" i="11"/>
  <c r="AA30" i="11"/>
  <c r="T30" i="11"/>
  <c r="M30" i="11"/>
  <c r="F30" i="11"/>
  <c r="AA29" i="11"/>
  <c r="T29" i="11"/>
  <c r="M29" i="11"/>
  <c r="F29" i="11"/>
  <c r="AA28" i="11"/>
  <c r="T28" i="11"/>
  <c r="M28" i="11"/>
  <c r="F28" i="11"/>
  <c r="AA27" i="11"/>
  <c r="T27" i="11"/>
  <c r="M27" i="11"/>
  <c r="F27" i="11"/>
  <c r="AA26" i="11"/>
  <c r="T26" i="11"/>
  <c r="M26" i="11"/>
  <c r="F26" i="11"/>
  <c r="AA25" i="11"/>
  <c r="T25" i="11"/>
  <c r="M25" i="11"/>
  <c r="F25" i="11"/>
  <c r="AA24" i="11"/>
  <c r="T24" i="11"/>
  <c r="M24" i="11"/>
  <c r="F24" i="11"/>
  <c r="AA23" i="11"/>
  <c r="T23" i="11"/>
  <c r="M23" i="11"/>
  <c r="F23" i="11"/>
  <c r="AA22" i="11"/>
  <c r="T22" i="11"/>
  <c r="M22" i="11"/>
  <c r="F22" i="11"/>
  <c r="AA21" i="11"/>
  <c r="T21" i="11"/>
  <c r="M21" i="11"/>
  <c r="F21" i="11"/>
  <c r="AA20" i="11"/>
  <c r="T20" i="11"/>
  <c r="M20" i="11"/>
  <c r="F20" i="11"/>
  <c r="AA19" i="11"/>
  <c r="T19" i="11"/>
  <c r="M19" i="11"/>
  <c r="F19" i="11"/>
  <c r="AA18" i="11"/>
  <c r="T18" i="11"/>
  <c r="M18" i="11"/>
  <c r="F18" i="11"/>
  <c r="AA17" i="11"/>
  <c r="T17" i="11"/>
  <c r="M17" i="11"/>
  <c r="F17" i="11"/>
  <c r="AA16" i="11"/>
  <c r="T16" i="11"/>
  <c r="M16" i="11"/>
  <c r="F16" i="11"/>
  <c r="AA15" i="11"/>
  <c r="T15" i="11"/>
  <c r="M15" i="11"/>
  <c r="F15" i="11"/>
  <c r="AA14" i="11"/>
  <c r="T14" i="11"/>
  <c r="M14" i="11"/>
  <c r="F14" i="11"/>
  <c r="AA42" i="10"/>
  <c r="T42" i="10"/>
  <c r="M42" i="10"/>
  <c r="F42" i="10"/>
  <c r="AA15" i="10"/>
  <c r="AA16" i="10"/>
  <c r="AA17" i="10"/>
  <c r="AA18" i="10"/>
  <c r="AA19" i="10"/>
  <c r="AA20" i="10"/>
  <c r="AA21" i="10"/>
  <c r="AA22" i="10"/>
  <c r="AA23" i="10"/>
  <c r="AA24" i="10"/>
  <c r="AA25" i="10"/>
  <c r="AA26" i="10"/>
  <c r="AA27" i="10"/>
  <c r="AA28" i="10"/>
  <c r="AA29" i="10"/>
  <c r="AA30" i="10"/>
  <c r="AA31" i="10"/>
  <c r="AA32" i="10"/>
  <c r="AA33" i="10"/>
  <c r="AA34" i="10"/>
  <c r="AA35" i="10"/>
  <c r="AA36" i="10"/>
  <c r="AA37" i="10"/>
  <c r="AA38" i="10"/>
  <c r="AA39" i="10"/>
  <c r="AA14" i="10"/>
  <c r="T15" i="10"/>
  <c r="T16" i="10"/>
  <c r="T17" i="10"/>
  <c r="T18" i="10"/>
  <c r="T19" i="10"/>
  <c r="T20" i="10"/>
  <c r="T21" i="10"/>
  <c r="T22" i="10"/>
  <c r="T23" i="10"/>
  <c r="T24" i="10"/>
  <c r="T25" i="10"/>
  <c r="T26" i="10"/>
  <c r="T27" i="10"/>
  <c r="T28" i="10"/>
  <c r="T29" i="10"/>
  <c r="T30" i="10"/>
  <c r="T31" i="10"/>
  <c r="T32" i="10"/>
  <c r="T33" i="10"/>
  <c r="T34" i="10"/>
  <c r="T35" i="10"/>
  <c r="T36" i="10"/>
  <c r="T37" i="10"/>
  <c r="T38" i="10"/>
  <c r="T39" i="10"/>
  <c r="T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14" i="10"/>
  <c r="M41" i="11" l="1"/>
  <c r="H50" i="11"/>
  <c r="H49" i="11"/>
  <c r="H41" i="11"/>
  <c r="H51" i="11"/>
  <c r="V50" i="11"/>
  <c r="V49" i="11"/>
  <c r="V41" i="11"/>
  <c r="V51" i="11"/>
  <c r="AC49" i="11"/>
  <c r="AC50" i="11"/>
  <c r="AC41" i="11"/>
  <c r="AC51" i="11"/>
  <c r="O50" i="11"/>
  <c r="O49" i="11"/>
  <c r="O41" i="11"/>
  <c r="O51" i="11"/>
  <c r="AA41" i="11"/>
  <c r="T41" i="11"/>
  <c r="F41" i="11"/>
  <c r="X41" i="10"/>
  <c r="Y41" i="10"/>
  <c r="AA41" i="10"/>
  <c r="Q41" i="10"/>
  <c r="R41" i="10"/>
  <c r="T41" i="10"/>
  <c r="J41" i="10"/>
  <c r="K41" i="10"/>
  <c r="M41" i="10"/>
  <c r="C41" i="10"/>
  <c r="D41" i="10"/>
  <c r="F41" i="10"/>
  <c r="W41" i="10"/>
  <c r="AB41" i="10"/>
  <c r="U41" i="10"/>
  <c r="P41" i="10"/>
  <c r="N41" i="10"/>
  <c r="I41" i="10"/>
  <c r="G41" i="10"/>
  <c r="B41" i="10"/>
  <c r="AC52" i="11" l="1"/>
  <c r="AC53" i="11" s="1"/>
  <c r="O52" i="11"/>
  <c r="O53" i="11" s="1"/>
  <c r="V52" i="11"/>
  <c r="H52" i="11"/>
  <c r="H53" i="11" s="1"/>
  <c r="H51" i="10"/>
  <c r="H50" i="10"/>
  <c r="H49" i="10"/>
  <c r="H41" i="10"/>
  <c r="O51" i="10"/>
  <c r="O49" i="10"/>
  <c r="O50" i="10"/>
  <c r="O41" i="10"/>
  <c r="V49" i="10"/>
  <c r="V41" i="10"/>
  <c r="V51" i="10"/>
  <c r="V50" i="10"/>
  <c r="AC50" i="10"/>
  <c r="AC41" i="10"/>
  <c r="AC51" i="10"/>
  <c r="AC49" i="10"/>
  <c r="O52" i="10" l="1"/>
  <c r="O53" i="10" s="1"/>
  <c r="AC52" i="10"/>
  <c r="AC53" i="10" s="1"/>
  <c r="V52" i="10"/>
  <c r="V53" i="10" s="1"/>
  <c r="H52" i="10"/>
  <c r="H53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C14" authorId="0" shapeId="0" xr:uid="{672DB175-D70F-429D-AD36-596B4FE00EF3}">
      <text>
        <r>
          <rPr>
            <sz val="9"/>
            <color indexed="81"/>
            <rFont val="Segoe UI"/>
            <family val="2"/>
          </rPr>
          <t>MOOC
protocol =&gt; B. Lublinsky, Nucl. Instr. and Meth. A352,403 (1994)
OR
FORMELN</t>
        </r>
      </text>
    </comment>
    <comment ref="X14" authorId="0" shapeId="0" xr:uid="{87E050EF-06AB-4931-8FE5-060BB240517C}">
      <text>
        <r>
          <rPr>
            <sz val="9"/>
            <color indexed="81"/>
            <rFont val="Segoe UI"/>
            <family val="2"/>
          </rPr>
          <t>multi-objective optimal control (MOOC) problem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C14" authorId="0" shapeId="0" xr:uid="{972139BB-48D1-4A33-B203-D8AE6A6C51BE}">
      <text>
        <r>
          <rPr>
            <sz val="9"/>
            <color indexed="81"/>
            <rFont val="Segoe UI"/>
            <family val="2"/>
          </rPr>
          <t>MOOC
protocol =&gt; B. Lublinsky, Nucl. Instr. and Meth. A352,403 (1994)
OR
FORMELN</t>
        </r>
      </text>
    </comment>
    <comment ref="X14" authorId="0" shapeId="0" xr:uid="{AF170617-38D9-4802-94B9-D9A71C41FD78}">
      <text>
        <r>
          <rPr>
            <sz val="9"/>
            <color indexed="81"/>
            <rFont val="Segoe UI"/>
            <family val="2"/>
          </rPr>
          <t>multi-objective optimal control (MOOC) problem</t>
        </r>
      </text>
    </comment>
  </commentList>
</comments>
</file>

<file path=xl/sharedStrings.xml><?xml version="1.0" encoding="utf-8"?>
<sst xmlns="http://schemas.openxmlformats.org/spreadsheetml/2006/main" count="88" uniqueCount="22">
  <si>
    <t>IEEE</t>
  </si>
  <si>
    <t>ACM</t>
  </si>
  <si>
    <t>LM</t>
  </si>
  <si>
    <t>Jahr</t>
  </si>
  <si>
    <t>Journals</t>
  </si>
  <si>
    <t>Publikationen</t>
  </si>
  <si>
    <t>%</t>
  </si>
  <si>
    <t>SUMME</t>
  </si>
  <si>
    <t>Conferences</t>
  </si>
  <si>
    <t>Magazines</t>
  </si>
  <si>
    <t>Springer</t>
  </si>
  <si>
    <t>Stand: 01.01.2023</t>
  </si>
  <si>
    <t>Elsevier</t>
  </si>
  <si>
    <t>eL</t>
  </si>
  <si>
    <t>mooc</t>
  </si>
  <si>
    <t>eL - moocs</t>
  </si>
  <si>
    <t>eL(-moocs)</t>
  </si>
  <si>
    <t>KONTROLLE</t>
  </si>
  <si>
    <t>OTHER</t>
  </si>
  <si>
    <t>Metadata, Title, Keywords &amp; Absstract</t>
  </si>
  <si>
    <t>full Text</t>
  </si>
  <si>
    <t>eL - [eL-(moocs)]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</si>
</sst>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i/>
      <sz val="11"/>
      <color theme="0" tint="-0.499984740745262"/>
      <name val="Calibri"/>
      <family val="2"/>
      <scheme val="minor"/>
    </font>
    <font>
      <b/>
      <i/>
      <sz val="11"/>
      <color theme="0" tint="-0.499984740745262"/>
      <name val="Calibri"/>
      <family val="2"/>
      <scheme val="minor"/>
    </font>
    <font>
      <b/>
      <i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9">
    <xf numFmtId="0" fontId="0" fillId="0" borderId="0" xfId="0"/>
    <xf numFmtId="0" fontId="2" fillId="0" borderId="0" xfId="0" applyFont="1"/>
    <xf numFmtId="0" fontId="0" fillId="0" borderId="0" xfId="0" quotePrefix="1"/>
    <xf numFmtId="0" fontId="3" fillId="0" borderId="0" xfId="0" applyFont="1"/>
    <xf numFmtId="0" fontId="4" fillId="0" borderId="0" xfId="0" applyFont="1"/>
    <xf numFmtId="0" fontId="2" fillId="2" borderId="0" xfId="0" applyFont="1" applyFill="1"/>
    <xf numFmtId="0" fontId="0" fillId="2" borderId="0" xfId="0" applyFill="1"/>
    <xf numFmtId="0" fontId="2" fillId="0" borderId="0" xfId="0" applyFont="1" applyFill="1"/>
    <xf numFmtId="0" fontId="0" fillId="0" borderId="0" xfId="0" applyFill="1"/>
    <xf numFmtId="9" fontId="0" fillId="0" borderId="0" xfId="1" applyFont="1" applyFill="1"/>
    <xf numFmtId="0" fontId="0" fillId="0" borderId="0" xfId="0" quotePrefix="1" applyFill="1"/>
    <xf numFmtId="0" fontId="5" fillId="0" borderId="0" xfId="0" applyFont="1"/>
    <xf numFmtId="9" fontId="0" fillId="0" borderId="0" xfId="0" applyNumberFormat="1" applyFill="1"/>
    <xf numFmtId="0" fontId="2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0" fillId="6" borderId="0" xfId="0" applyFill="1"/>
    <xf numFmtId="0" fontId="0" fillId="5" borderId="0" xfId="0" applyFill="1"/>
    <xf numFmtId="0" fontId="2" fillId="0" borderId="0" xfId="0" applyFont="1" applyAlignment="1">
      <alignment horizontal="center" vertical="center"/>
    </xf>
    <xf numFmtId="0" fontId="8" fillId="7" borderId="0" xfId="0" applyFont="1" applyFill="1"/>
    <xf numFmtId="0" fontId="4" fillId="2" borderId="0" xfId="0" applyFont="1" applyFill="1"/>
    <xf numFmtId="0" fontId="4" fillId="0" borderId="0" xfId="0" applyFont="1" applyFill="1"/>
    <xf numFmtId="0" fontId="7" fillId="0" borderId="0" xfId="0" quotePrefix="1" applyFont="1" applyFill="1"/>
    <xf numFmtId="0" fontId="10" fillId="2" borderId="0" xfId="0" applyFont="1" applyFill="1"/>
    <xf numFmtId="0" fontId="10" fillId="0" borderId="0" xfId="0" applyFont="1"/>
    <xf numFmtId="0" fontId="0" fillId="3" borderId="0" xfId="0" applyFill="1"/>
    <xf numFmtId="0" fontId="0" fillId="3" borderId="0" xfId="0" quotePrefix="1" applyFill="1"/>
    <xf numFmtId="0" fontId="2" fillId="8" borderId="0" xfId="0" applyFont="1" applyFill="1"/>
    <xf numFmtId="0" fontId="0" fillId="8" borderId="0" xfId="0" applyFill="1"/>
    <xf numFmtId="0" fontId="0" fillId="8" borderId="0" xfId="0" quotePrefix="1" applyFill="1"/>
    <xf numFmtId="0" fontId="2" fillId="9" borderId="0" xfId="0" applyFont="1" applyFill="1"/>
    <xf numFmtId="9" fontId="8" fillId="7" borderId="0" xfId="1" applyFont="1" applyFill="1"/>
    <xf numFmtId="0" fontId="0" fillId="0" borderId="0" xfId="0" applyFont="1" applyFill="1"/>
    <xf numFmtId="0" fontId="0" fillId="8" borderId="0" xfId="0" applyFont="1" applyFill="1"/>
    <xf numFmtId="0" fontId="8" fillId="0" borderId="0" xfId="0" applyFont="1" applyFill="1"/>
    <xf numFmtId="0" fontId="11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vertical="center"/>
    </xf>
    <xf numFmtId="0" fontId="2" fillId="6" borderId="0" xfId="0" applyFont="1" applyFill="1" applyBorder="1" applyAlignment="1">
      <alignment horizontal="center" vertical="center"/>
    </xf>
    <xf numFmtId="0" fontId="4" fillId="2" borderId="0" xfId="0" applyFont="1" applyFill="1" applyBorder="1"/>
    <xf numFmtId="0" fontId="10" fillId="2" borderId="0" xfId="0" applyFont="1" applyFill="1" applyBorder="1"/>
    <xf numFmtId="0" fontId="0" fillId="2" borderId="0" xfId="0" applyFill="1" applyBorder="1"/>
    <xf numFmtId="0" fontId="4" fillId="0" borderId="0" xfId="0" applyFont="1" applyBorder="1"/>
    <xf numFmtId="0" fontId="10" fillId="0" borderId="0" xfId="0" applyFont="1" applyBorder="1"/>
    <xf numFmtId="0" fontId="0" fillId="6" borderId="0" xfId="0" applyFill="1" applyBorder="1"/>
    <xf numFmtId="0" fontId="0" fillId="0" borderId="0" xfId="0" applyBorder="1"/>
    <xf numFmtId="0" fontId="8" fillId="7" borderId="0" xfId="0" applyFont="1" applyFill="1" applyBorder="1"/>
    <xf numFmtId="0" fontId="2" fillId="5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5" borderId="1" xfId="0" applyFill="1" applyBorder="1"/>
    <xf numFmtId="0" fontId="0" fillId="0" borderId="1" xfId="0" applyBorder="1"/>
    <xf numFmtId="0" fontId="0" fillId="0" borderId="2" xfId="0" applyBorder="1"/>
    <xf numFmtId="9" fontId="0" fillId="0" borderId="2" xfId="1" applyFont="1" applyBorder="1"/>
    <xf numFmtId="0" fontId="8" fillId="7" borderId="1" xfId="0" applyFont="1" applyFill="1" applyBorder="1"/>
    <xf numFmtId="0" fontId="4" fillId="0" borderId="0" xfId="0" applyFont="1" applyFill="1" applyBorder="1"/>
    <xf numFmtId="0" fontId="0" fillId="0" borderId="0" xfId="0" applyFill="1" applyBorder="1"/>
    <xf numFmtId="0" fontId="0" fillId="3" borderId="0" xfId="0" applyFill="1" applyBorder="1"/>
    <xf numFmtId="9" fontId="0" fillId="0" borderId="2" xfId="1" applyFont="1" applyFill="1" applyBorder="1"/>
    <xf numFmtId="0" fontId="0" fillId="8" borderId="1" xfId="0" applyFill="1" applyBorder="1"/>
    <xf numFmtId="0" fontId="0" fillId="8" borderId="0" xfId="0" applyFill="1" applyBorder="1"/>
    <xf numFmtId="9" fontId="8" fillId="7" borderId="2" xfId="1" applyFont="1" applyFill="1" applyBorder="1"/>
    <xf numFmtId="0" fontId="0" fillId="3" borderId="0" xfId="0" quotePrefix="1" applyFill="1" applyBorder="1"/>
    <xf numFmtId="0" fontId="2" fillId="0" borderId="0" xfId="0" applyFont="1" applyBorder="1"/>
    <xf numFmtId="0" fontId="2" fillId="0" borderId="1" xfId="0" applyFont="1" applyBorder="1"/>
    <xf numFmtId="0" fontId="0" fillId="0" borderId="1" xfId="0" applyFont="1" applyFill="1" applyBorder="1"/>
    <xf numFmtId="0" fontId="2" fillId="0" borderId="0" xfId="0" applyFont="1" applyFill="1" applyBorder="1"/>
    <xf numFmtId="0" fontId="2" fillId="8" borderId="1" xfId="0" applyFont="1" applyFill="1" applyBorder="1"/>
    <xf numFmtId="0" fontId="2" fillId="8" borderId="0" xfId="0" applyFont="1" applyFill="1" applyBorder="1"/>
    <xf numFmtId="9" fontId="8" fillId="7" borderId="2" xfId="0" applyNumberFormat="1" applyFont="1" applyFill="1" applyBorder="1"/>
    <xf numFmtId="0" fontId="0" fillId="0" borderId="0" xfId="0" applyFont="1" applyFill="1" applyAlignment="1"/>
    <xf numFmtId="9" fontId="1" fillId="0" borderId="0" xfId="1" applyFont="1" applyFill="1"/>
    <xf numFmtId="0" fontId="5" fillId="0" borderId="0" xfId="0" applyFont="1" applyFill="1"/>
    <xf numFmtId="0" fontId="0" fillId="0" borderId="2" xfId="0" applyFill="1" applyBorder="1"/>
    <xf numFmtId="0" fontId="0" fillId="0" borderId="0" xfId="0" applyFont="1" applyFill="1" applyBorder="1" applyAlignment="1"/>
    <xf numFmtId="0" fontId="0" fillId="0" borderId="2" xfId="0" applyFont="1" applyFill="1" applyBorder="1" applyAlignment="1"/>
    <xf numFmtId="0" fontId="0" fillId="0" borderId="1" xfId="0" applyFont="1" applyBorder="1"/>
    <xf numFmtId="0" fontId="5" fillId="0" borderId="0" xfId="0" applyFont="1" applyBorder="1"/>
    <xf numFmtId="0" fontId="0" fillId="0" borderId="0" xfId="0" applyFont="1" applyFill="1" applyBorder="1"/>
    <xf numFmtId="9" fontId="1" fillId="0" borderId="2" xfId="1" applyFont="1" applyFill="1" applyBorder="1"/>
    <xf numFmtId="9" fontId="1" fillId="0" borderId="0" xfId="1" applyFont="1" applyFill="1" applyBorder="1"/>
    <xf numFmtId="9" fontId="8" fillId="7" borderId="0" xfId="1" applyFont="1" applyFill="1" applyBorder="1"/>
    <xf numFmtId="0" fontId="0" fillId="0" borderId="2" xfId="0" applyFont="1" applyFill="1" applyBorder="1"/>
    <xf numFmtId="0" fontId="0" fillId="8" borderId="1" xfId="0" applyFont="1" applyFill="1" applyBorder="1"/>
    <xf numFmtId="0" fontId="0" fillId="8" borderId="0" xfId="0" applyFont="1" applyFill="1" applyBorder="1"/>
    <xf numFmtId="0" fontId="0" fillId="8" borderId="0" xfId="0" quotePrefix="1" applyFont="1" applyFill="1" applyBorder="1"/>
    <xf numFmtId="0" fontId="0" fillId="4" borderId="0" xfId="0" applyFont="1" applyFill="1" applyBorder="1"/>
    <xf numFmtId="0" fontId="10" fillId="7" borderId="0" xfId="0" applyFont="1" applyFill="1"/>
    <xf numFmtId="0" fontId="8" fillId="4" borderId="0" xfId="0" applyFont="1" applyFill="1" applyBorder="1"/>
    <xf numFmtId="0" fontId="10" fillId="7" borderId="0" xfId="0" applyFont="1" applyFill="1" applyBorder="1"/>
    <xf numFmtId="0" fontId="0" fillId="0" borderId="1" xfId="0" applyNumberFormat="1" applyFill="1" applyBorder="1"/>
    <xf numFmtId="0" fontId="0" fillId="0" borderId="0" xfId="0" applyNumberFormat="1" applyFill="1" applyBorder="1"/>
    <xf numFmtId="0" fontId="0" fillId="0" borderId="0" xfId="0" applyNumberFormat="1"/>
    <xf numFmtId="0" fontId="0" fillId="0" borderId="0" xfId="0" applyNumberFormat="1" applyFill="1"/>
    <xf numFmtId="0" fontId="0" fillId="0" borderId="0" xfId="0" applyNumberFormat="1" applyFont="1" applyFill="1"/>
    <xf numFmtId="9" fontId="10" fillId="2" borderId="2" xfId="1" applyFont="1" applyFill="1" applyBorder="1"/>
    <xf numFmtId="9" fontId="10" fillId="0" borderId="2" xfId="1" applyFont="1" applyBorder="1"/>
    <xf numFmtId="9" fontId="10" fillId="0" borderId="2" xfId="1" applyFont="1" applyFill="1" applyBorder="1"/>
    <xf numFmtId="9" fontId="10" fillId="0" borderId="0" xfId="1" applyFont="1"/>
    <xf numFmtId="9" fontId="10" fillId="2" borderId="0" xfId="1" applyFont="1" applyFill="1"/>
    <xf numFmtId="9" fontId="10" fillId="0" borderId="0" xfId="1" applyFont="1" applyFill="1"/>
    <xf numFmtId="0" fontId="11" fillId="0" borderId="2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9" fontId="10" fillId="2" borderId="0" xfId="1" applyFont="1" applyFill="1" applyBorder="1"/>
    <xf numFmtId="9" fontId="10" fillId="0" borderId="0" xfId="1" applyFont="1" applyBorder="1"/>
    <xf numFmtId="9" fontId="10" fillId="0" borderId="0" xfId="1" applyFont="1" applyFill="1" applyBorder="1"/>
    <xf numFmtId="0" fontId="11" fillId="0" borderId="0" xfId="0" applyFont="1" applyAlignment="1">
      <alignment horizontal="center" vertical="center"/>
    </xf>
    <xf numFmtId="9" fontId="11" fillId="9" borderId="2" xfId="1" applyFont="1" applyFill="1" applyBorder="1"/>
    <xf numFmtId="9" fontId="11" fillId="0" borderId="2" xfId="1" applyFont="1" applyBorder="1"/>
    <xf numFmtId="9" fontId="11" fillId="0" borderId="2" xfId="1" applyFont="1" applyFill="1" applyBorder="1"/>
    <xf numFmtId="9" fontId="11" fillId="8" borderId="2" xfId="1" applyFont="1" applyFill="1" applyBorder="1"/>
    <xf numFmtId="9" fontId="10" fillId="0" borderId="2" xfId="0" applyNumberFormat="1" applyFont="1" applyFill="1" applyBorder="1"/>
    <xf numFmtId="9" fontId="11" fillId="9" borderId="0" xfId="1" applyFont="1" applyFill="1"/>
    <xf numFmtId="9" fontId="11" fillId="0" borderId="0" xfId="1" applyFont="1"/>
    <xf numFmtId="9" fontId="11" fillId="0" borderId="0" xfId="1" quotePrefix="1" applyFont="1" applyFill="1"/>
    <xf numFmtId="9" fontId="11" fillId="8" borderId="0" xfId="1" quotePrefix="1" applyFont="1" applyFill="1"/>
    <xf numFmtId="9" fontId="11" fillId="9" borderId="0" xfId="1" applyFont="1" applyFill="1" applyBorder="1"/>
    <xf numFmtId="9" fontId="11" fillId="0" borderId="0" xfId="1" applyFont="1" applyBorder="1"/>
    <xf numFmtId="9" fontId="11" fillId="0" borderId="0" xfId="1" applyFont="1" applyFill="1" applyBorder="1"/>
    <xf numFmtId="9" fontId="11" fillId="8" borderId="0" xfId="1" applyFont="1" applyFill="1" applyBorder="1"/>
    <xf numFmtId="9" fontId="11" fillId="0" borderId="2" xfId="1" quotePrefix="1" applyFont="1" applyFill="1" applyBorder="1"/>
    <xf numFmtId="9" fontId="11" fillId="8" borderId="2" xfId="1" quotePrefix="1" applyFont="1" applyFill="1" applyBorder="1"/>
    <xf numFmtId="9" fontId="11" fillId="0" borderId="0" xfId="1" applyFont="1" applyFill="1"/>
    <xf numFmtId="9" fontId="11" fillId="8" borderId="0" xfId="1" applyFont="1" applyFill="1"/>
    <xf numFmtId="0" fontId="12" fillId="3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1904</xdr:colOff>
      <xdr:row>13</xdr:row>
      <xdr:rowOff>0</xdr:rowOff>
    </xdr:from>
    <xdr:to>
      <xdr:col>22</xdr:col>
      <xdr:colOff>0</xdr:colOff>
      <xdr:row>54</xdr:row>
      <xdr:rowOff>0</xdr:rowOff>
    </xdr:to>
    <xdr:sp macro="" textlink="">
      <xdr:nvSpPr>
        <xdr:cNvPr id="3" name="Rechteck 2">
          <a:extLst>
            <a:ext uri="{FF2B5EF4-FFF2-40B4-BE49-F238E27FC236}">
              <a16:creationId xmlns:a16="http://schemas.microsoft.com/office/drawing/2014/main" id="{1A56E6A0-D558-4D05-8FB5-96DDCE688828}"/>
            </a:ext>
          </a:extLst>
        </xdr:cNvPr>
        <xdr:cNvSpPr/>
      </xdr:nvSpPr>
      <xdr:spPr>
        <a:xfrm>
          <a:off x="12412979" y="2352675"/>
          <a:ext cx="5808346" cy="7419975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BB15B-F69A-4D81-9598-187225FDDB6E}">
  <dimension ref="A1:AP56"/>
  <sheetViews>
    <sheetView tabSelected="1" workbookViewId="0">
      <pane xSplit="1" topLeftCell="B1" activePane="topRight" state="frozen"/>
      <selection activeCell="A4" sqref="A4"/>
      <selection pane="topRight"/>
    </sheetView>
  </sheetViews>
  <sheetFormatPr baseColWidth="10" defaultRowHeight="14.4" x14ac:dyDescent="0.55000000000000004"/>
  <cols>
    <col min="5" max="5" width="14.7890625" bestFit="1" customWidth="1"/>
    <col min="12" max="12" width="14.7890625" bestFit="1" customWidth="1"/>
    <col min="19" max="19" width="14.7890625" bestFit="1" customWidth="1"/>
    <col min="26" max="26" width="14.7890625" bestFit="1" customWidth="1"/>
  </cols>
  <sheetData>
    <row r="1" spans="1:29" x14ac:dyDescent="0.55000000000000004">
      <c r="A1" s="3" t="s">
        <v>11</v>
      </c>
    </row>
    <row r="2" spans="1:29" x14ac:dyDescent="0.55000000000000004">
      <c r="G2" s="1"/>
    </row>
    <row r="3" spans="1:29" x14ac:dyDescent="0.55000000000000004">
      <c r="A3" s="1"/>
      <c r="C3" s="1"/>
      <c r="D3" s="1"/>
      <c r="E3" s="1"/>
      <c r="F3" s="1"/>
      <c r="G3" s="2"/>
      <c r="H3" s="22"/>
      <c r="M3" s="2"/>
      <c r="O3" s="2"/>
    </row>
    <row r="4" spans="1:29" x14ac:dyDescent="0.55000000000000004">
      <c r="B4" s="1"/>
      <c r="C4" s="1"/>
      <c r="D4" s="1"/>
      <c r="E4" s="1"/>
      <c r="F4" s="1"/>
      <c r="N4" s="2"/>
      <c r="O4" s="2"/>
    </row>
    <row r="7" spans="1:29" x14ac:dyDescent="0.55000000000000004">
      <c r="B7" s="1"/>
      <c r="C7" s="1"/>
      <c r="D7" s="1"/>
      <c r="E7" s="1"/>
      <c r="F7" s="1"/>
      <c r="H7" s="2"/>
      <c r="I7" s="2"/>
      <c r="J7" s="2"/>
      <c r="K7" s="2"/>
      <c r="L7" s="2"/>
      <c r="M7" s="2"/>
    </row>
    <row r="8" spans="1:29" x14ac:dyDescent="0.55000000000000004">
      <c r="B8" s="1"/>
      <c r="C8" s="1"/>
      <c r="D8" s="1"/>
      <c r="E8" s="1"/>
      <c r="F8" s="1"/>
      <c r="H8" s="2"/>
      <c r="I8" s="2"/>
      <c r="J8" s="2"/>
      <c r="K8" s="2"/>
      <c r="L8" s="2"/>
      <c r="M8" s="2"/>
    </row>
    <row r="9" spans="1:29" x14ac:dyDescent="0.55000000000000004">
      <c r="B9" s="1"/>
      <c r="C9" s="1"/>
      <c r="D9" s="1"/>
      <c r="E9" s="1"/>
      <c r="F9" s="1"/>
      <c r="H9" s="2"/>
      <c r="I9" s="2"/>
      <c r="J9" s="10"/>
      <c r="K9" s="2"/>
      <c r="L9" s="2"/>
      <c r="M9" s="2"/>
    </row>
    <row r="10" spans="1:29" x14ac:dyDescent="0.55000000000000004">
      <c r="A10" s="123" t="s">
        <v>20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  <c r="AB10" s="123"/>
      <c r="AC10" s="123"/>
    </row>
    <row r="11" spans="1:29" x14ac:dyDescent="0.55000000000000004">
      <c r="A11" s="127" t="s">
        <v>5</v>
      </c>
      <c r="B11" s="127"/>
      <c r="C11" s="127"/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  <c r="AA11" s="127"/>
      <c r="AB11" s="127"/>
      <c r="AC11" s="127"/>
    </row>
    <row r="12" spans="1:29" x14ac:dyDescent="0.55000000000000004">
      <c r="B12" s="47" t="s">
        <v>13</v>
      </c>
      <c r="C12" s="36" t="s">
        <v>14</v>
      </c>
      <c r="D12" s="36" t="s">
        <v>16</v>
      </c>
      <c r="E12" s="37" t="s">
        <v>21</v>
      </c>
      <c r="F12" s="37" t="s">
        <v>15</v>
      </c>
      <c r="G12" s="38" t="s">
        <v>2</v>
      </c>
      <c r="H12" s="100" t="s">
        <v>6</v>
      </c>
      <c r="I12" s="14" t="s">
        <v>13</v>
      </c>
      <c r="J12" s="13" t="s">
        <v>14</v>
      </c>
      <c r="K12" s="13" t="s">
        <v>16</v>
      </c>
      <c r="L12" s="35" t="s">
        <v>21</v>
      </c>
      <c r="M12" s="35" t="s">
        <v>15</v>
      </c>
      <c r="N12" s="15" t="s">
        <v>2</v>
      </c>
      <c r="O12" s="105" t="s">
        <v>6</v>
      </c>
      <c r="P12" s="47" t="s">
        <v>13</v>
      </c>
      <c r="Q12" s="36" t="s">
        <v>14</v>
      </c>
      <c r="R12" s="36" t="s">
        <v>16</v>
      </c>
      <c r="S12" s="37" t="s">
        <v>21</v>
      </c>
      <c r="T12" s="37" t="s">
        <v>15</v>
      </c>
      <c r="U12" s="38" t="s">
        <v>2</v>
      </c>
      <c r="V12" s="101" t="s">
        <v>6</v>
      </c>
      <c r="W12" s="47" t="s">
        <v>13</v>
      </c>
      <c r="X12" s="36" t="s">
        <v>14</v>
      </c>
      <c r="Y12" s="36" t="s">
        <v>16</v>
      </c>
      <c r="Z12" s="37" t="s">
        <v>21</v>
      </c>
      <c r="AA12" s="37" t="s">
        <v>15</v>
      </c>
      <c r="AB12" s="38" t="s">
        <v>2</v>
      </c>
      <c r="AC12" s="100" t="s">
        <v>6</v>
      </c>
    </row>
    <row r="13" spans="1:29" x14ac:dyDescent="0.55000000000000004">
      <c r="A13" s="1" t="s">
        <v>3</v>
      </c>
      <c r="B13" s="124" t="s">
        <v>0</v>
      </c>
      <c r="C13" s="125"/>
      <c r="D13" s="125"/>
      <c r="E13" s="125"/>
      <c r="F13" s="125"/>
      <c r="G13" s="125"/>
      <c r="H13" s="126"/>
      <c r="I13" s="128" t="s">
        <v>1</v>
      </c>
      <c r="J13" s="128"/>
      <c r="K13" s="128"/>
      <c r="L13" s="128"/>
      <c r="M13" s="128"/>
      <c r="N13" s="128"/>
      <c r="O13" s="128"/>
      <c r="P13" s="124" t="s">
        <v>10</v>
      </c>
      <c r="Q13" s="125"/>
      <c r="R13" s="125"/>
      <c r="S13" s="125"/>
      <c r="T13" s="125"/>
      <c r="U13" s="125"/>
      <c r="V13" s="125"/>
      <c r="W13" s="124" t="s">
        <v>12</v>
      </c>
      <c r="X13" s="125"/>
      <c r="Y13" s="125"/>
      <c r="Z13" s="125"/>
      <c r="AA13" s="125"/>
      <c r="AB13" s="125"/>
      <c r="AC13" s="126"/>
    </row>
    <row r="14" spans="1:29" x14ac:dyDescent="0.55000000000000004">
      <c r="A14" s="5">
        <v>1997</v>
      </c>
      <c r="B14" s="48">
        <v>39</v>
      </c>
      <c r="C14" s="39">
        <v>2</v>
      </c>
      <c r="D14" s="39">
        <v>39</v>
      </c>
      <c r="E14" s="40">
        <f>$B14-$D14</f>
        <v>0</v>
      </c>
      <c r="F14" s="40">
        <f>$B14-$C14</f>
        <v>37</v>
      </c>
      <c r="G14" s="41">
        <v>16</v>
      </c>
      <c r="H14" s="94">
        <f>IFERROR($G14/$B14,0)</f>
        <v>0.41025641025641024</v>
      </c>
      <c r="I14" s="6">
        <v>10</v>
      </c>
      <c r="J14" s="20">
        <v>0</v>
      </c>
      <c r="K14" s="20">
        <v>10</v>
      </c>
      <c r="L14" s="23">
        <f>$I14-$K14</f>
        <v>0</v>
      </c>
      <c r="M14" s="23">
        <f>$I14-$J14</f>
        <v>10</v>
      </c>
      <c r="N14" s="6">
        <v>14</v>
      </c>
      <c r="O14" s="98">
        <f>IFERROR($N14/$I14,0)</f>
        <v>1.4</v>
      </c>
      <c r="P14" s="48">
        <v>35</v>
      </c>
      <c r="Q14" s="39">
        <v>0</v>
      </c>
      <c r="R14" s="39">
        <v>35</v>
      </c>
      <c r="S14" s="40">
        <f>$P14-$R14</f>
        <v>0</v>
      </c>
      <c r="T14" s="40">
        <f>$P14-$Q14</f>
        <v>35</v>
      </c>
      <c r="U14" s="41">
        <v>55</v>
      </c>
      <c r="V14" s="102">
        <f>IFERROR($U14/$P14,0)</f>
        <v>1.5714285714285714</v>
      </c>
      <c r="W14" s="48">
        <v>2</v>
      </c>
      <c r="X14" s="39">
        <v>2</v>
      </c>
      <c r="Y14" s="39">
        <v>2</v>
      </c>
      <c r="Z14" s="40">
        <f>$W14-$Y14</f>
        <v>0</v>
      </c>
      <c r="AA14" s="40">
        <f>$W14-$X14</f>
        <v>0</v>
      </c>
      <c r="AB14" s="41">
        <v>14</v>
      </c>
      <c r="AC14" s="94">
        <f>IFERROR($AB14/$W14,0)</f>
        <v>7</v>
      </c>
    </row>
    <row r="15" spans="1:29" x14ac:dyDescent="0.55000000000000004">
      <c r="A15" s="1">
        <v>1998</v>
      </c>
      <c r="B15" s="49">
        <v>30</v>
      </c>
      <c r="C15" s="42">
        <v>1</v>
      </c>
      <c r="D15" s="42">
        <v>30</v>
      </c>
      <c r="E15" s="43">
        <f t="shared" ref="E15:E39" si="0">$B15-$D15</f>
        <v>0</v>
      </c>
      <c r="F15" s="43">
        <f t="shared" ref="F15:F39" si="1">$B15-$C15</f>
        <v>29</v>
      </c>
      <c r="G15" s="44">
        <v>16</v>
      </c>
      <c r="H15" s="95">
        <f>IFERROR($G15/$B15,0)</f>
        <v>0.53333333333333333</v>
      </c>
      <c r="I15" s="17">
        <v>43</v>
      </c>
      <c r="J15" s="4">
        <v>0</v>
      </c>
      <c r="K15" s="4">
        <v>43</v>
      </c>
      <c r="L15" s="24">
        <f t="shared" ref="L15:L39" si="2">$I15-$K15</f>
        <v>0</v>
      </c>
      <c r="M15" s="24">
        <f t="shared" ref="M15:M39" si="3">$I15-$J15</f>
        <v>43</v>
      </c>
      <c r="N15" s="16">
        <v>11</v>
      </c>
      <c r="O15" s="97">
        <f t="shared" ref="O15:O39" si="4">IFERROR($N15/$I15,0)</f>
        <v>0.2558139534883721</v>
      </c>
      <c r="P15" s="49">
        <v>48</v>
      </c>
      <c r="Q15" s="42">
        <v>1</v>
      </c>
      <c r="R15" s="42">
        <v>48</v>
      </c>
      <c r="S15" s="43">
        <f t="shared" ref="S15:S39" si="5">$P15-$R15</f>
        <v>0</v>
      </c>
      <c r="T15" s="43">
        <f t="shared" ref="T15:T39" si="6">$P15-$Q15</f>
        <v>47</v>
      </c>
      <c r="U15" s="44">
        <v>99</v>
      </c>
      <c r="V15" s="103">
        <f t="shared" ref="V15:V39" si="7">IFERROR($U15/$P15,0)</f>
        <v>2.0625</v>
      </c>
      <c r="W15" s="49">
        <v>6</v>
      </c>
      <c r="X15" s="42">
        <v>1</v>
      </c>
      <c r="Y15" s="42">
        <v>6</v>
      </c>
      <c r="Z15" s="43">
        <f t="shared" ref="Z15:Z39" si="8">$W15-$Y15</f>
        <v>0</v>
      </c>
      <c r="AA15" s="43">
        <f t="shared" ref="AA15:AA39" si="9">$W15-$X15</f>
        <v>5</v>
      </c>
      <c r="AB15" s="44">
        <v>16</v>
      </c>
      <c r="AC15" s="95">
        <f t="shared" ref="AC15:AC39" si="10">IFERROR($AB15/$W15,0)</f>
        <v>2.6666666666666665</v>
      </c>
    </row>
    <row r="16" spans="1:29" x14ac:dyDescent="0.55000000000000004">
      <c r="A16" s="5">
        <v>1999</v>
      </c>
      <c r="B16" s="48">
        <v>52</v>
      </c>
      <c r="C16" s="39">
        <v>0</v>
      </c>
      <c r="D16" s="39">
        <v>52</v>
      </c>
      <c r="E16" s="40">
        <f t="shared" si="0"/>
        <v>0</v>
      </c>
      <c r="F16" s="40">
        <f t="shared" si="1"/>
        <v>52</v>
      </c>
      <c r="G16" s="41">
        <v>15</v>
      </c>
      <c r="H16" s="94">
        <f t="shared" ref="H16:H39" si="11">IFERROR($G16/$B16,0)</f>
        <v>0.28846153846153844</v>
      </c>
      <c r="I16" s="6">
        <v>18</v>
      </c>
      <c r="J16" s="20">
        <v>0</v>
      </c>
      <c r="K16" s="20">
        <v>18</v>
      </c>
      <c r="L16" s="23">
        <f t="shared" si="2"/>
        <v>0</v>
      </c>
      <c r="M16" s="23">
        <f t="shared" si="3"/>
        <v>18</v>
      </c>
      <c r="N16" s="6">
        <v>5</v>
      </c>
      <c r="O16" s="98">
        <f t="shared" si="4"/>
        <v>0.27777777777777779</v>
      </c>
      <c r="P16" s="48">
        <v>33</v>
      </c>
      <c r="Q16" s="39">
        <v>0</v>
      </c>
      <c r="R16" s="39">
        <v>33</v>
      </c>
      <c r="S16" s="40">
        <f t="shared" si="5"/>
        <v>0</v>
      </c>
      <c r="T16" s="40">
        <f t="shared" si="6"/>
        <v>33</v>
      </c>
      <c r="U16" s="41">
        <v>68</v>
      </c>
      <c r="V16" s="102">
        <f t="shared" si="7"/>
        <v>2.0606060606060606</v>
      </c>
      <c r="W16" s="48">
        <v>3</v>
      </c>
      <c r="X16" s="39">
        <v>0</v>
      </c>
      <c r="Y16" s="39">
        <v>3</v>
      </c>
      <c r="Z16" s="40">
        <f t="shared" si="8"/>
        <v>0</v>
      </c>
      <c r="AA16" s="40">
        <f t="shared" si="9"/>
        <v>3</v>
      </c>
      <c r="AB16" s="41">
        <v>9</v>
      </c>
      <c r="AC16" s="94">
        <f t="shared" si="10"/>
        <v>3</v>
      </c>
    </row>
    <row r="17" spans="1:29" x14ac:dyDescent="0.55000000000000004">
      <c r="A17" s="1">
        <v>2000</v>
      </c>
      <c r="B17" s="49">
        <v>72</v>
      </c>
      <c r="C17" s="42">
        <v>0</v>
      </c>
      <c r="D17" s="42">
        <v>72</v>
      </c>
      <c r="E17" s="43">
        <f t="shared" si="0"/>
        <v>0</v>
      </c>
      <c r="F17" s="43">
        <f t="shared" si="1"/>
        <v>72</v>
      </c>
      <c r="G17" s="44">
        <v>34</v>
      </c>
      <c r="H17" s="95">
        <f t="shared" si="11"/>
        <v>0.47222222222222221</v>
      </c>
      <c r="I17" s="17">
        <v>35</v>
      </c>
      <c r="J17" s="4">
        <v>0</v>
      </c>
      <c r="K17" s="4">
        <v>35</v>
      </c>
      <c r="L17" s="24">
        <f t="shared" si="2"/>
        <v>0</v>
      </c>
      <c r="M17" s="24">
        <f t="shared" si="3"/>
        <v>35</v>
      </c>
      <c r="N17" s="16">
        <v>14</v>
      </c>
      <c r="O17" s="97">
        <f t="shared" si="4"/>
        <v>0.4</v>
      </c>
      <c r="P17" s="49">
        <v>85</v>
      </c>
      <c r="Q17" s="42">
        <v>2</v>
      </c>
      <c r="R17" s="42">
        <v>85</v>
      </c>
      <c r="S17" s="43">
        <f t="shared" si="5"/>
        <v>0</v>
      </c>
      <c r="T17" s="43">
        <f t="shared" si="6"/>
        <v>83</v>
      </c>
      <c r="U17" s="44">
        <v>127</v>
      </c>
      <c r="V17" s="103">
        <f t="shared" si="7"/>
        <v>1.4941176470588236</v>
      </c>
      <c r="W17" s="49">
        <v>13</v>
      </c>
      <c r="X17" s="42">
        <v>0</v>
      </c>
      <c r="Y17" s="42">
        <v>13</v>
      </c>
      <c r="Z17" s="43">
        <f t="shared" si="8"/>
        <v>0</v>
      </c>
      <c r="AA17" s="43">
        <f t="shared" si="9"/>
        <v>13</v>
      </c>
      <c r="AB17" s="44">
        <v>14</v>
      </c>
      <c r="AC17" s="95">
        <f t="shared" si="10"/>
        <v>1.0769230769230769</v>
      </c>
    </row>
    <row r="18" spans="1:29" x14ac:dyDescent="0.55000000000000004">
      <c r="A18" s="5">
        <v>2001</v>
      </c>
      <c r="B18" s="48">
        <v>100</v>
      </c>
      <c r="C18" s="39">
        <v>1</v>
      </c>
      <c r="D18" s="39">
        <v>100</v>
      </c>
      <c r="E18" s="40">
        <f t="shared" si="0"/>
        <v>0</v>
      </c>
      <c r="F18" s="40">
        <f t="shared" si="1"/>
        <v>99</v>
      </c>
      <c r="G18" s="41">
        <v>26</v>
      </c>
      <c r="H18" s="94">
        <f t="shared" si="11"/>
        <v>0.26</v>
      </c>
      <c r="I18" s="6">
        <v>93</v>
      </c>
      <c r="J18" s="20">
        <v>0</v>
      </c>
      <c r="K18" s="20">
        <v>93</v>
      </c>
      <c r="L18" s="23">
        <f t="shared" si="2"/>
        <v>0</v>
      </c>
      <c r="M18" s="23">
        <f t="shared" si="3"/>
        <v>93</v>
      </c>
      <c r="N18" s="6">
        <v>17</v>
      </c>
      <c r="O18" s="98">
        <f t="shared" si="4"/>
        <v>0.18279569892473119</v>
      </c>
      <c r="P18" s="48">
        <v>151</v>
      </c>
      <c r="Q18" s="39">
        <v>0</v>
      </c>
      <c r="R18" s="39">
        <v>151</v>
      </c>
      <c r="S18" s="40">
        <f t="shared" si="5"/>
        <v>0</v>
      </c>
      <c r="T18" s="40">
        <f t="shared" si="6"/>
        <v>151</v>
      </c>
      <c r="U18" s="41">
        <v>66</v>
      </c>
      <c r="V18" s="102">
        <f t="shared" si="7"/>
        <v>0.4370860927152318</v>
      </c>
      <c r="W18" s="48">
        <v>24</v>
      </c>
      <c r="X18" s="39">
        <v>0</v>
      </c>
      <c r="Y18" s="39">
        <v>12</v>
      </c>
      <c r="Z18" s="40">
        <f t="shared" si="8"/>
        <v>12</v>
      </c>
      <c r="AA18" s="40">
        <f t="shared" si="9"/>
        <v>24</v>
      </c>
      <c r="AB18" s="41">
        <v>3</v>
      </c>
      <c r="AC18" s="94">
        <f t="shared" si="10"/>
        <v>0.125</v>
      </c>
    </row>
    <row r="19" spans="1:29" x14ac:dyDescent="0.55000000000000004">
      <c r="A19" s="1">
        <v>2002</v>
      </c>
      <c r="B19" s="49">
        <v>197</v>
      </c>
      <c r="C19" s="42">
        <v>5</v>
      </c>
      <c r="D19" s="42">
        <v>197</v>
      </c>
      <c r="E19" s="43">
        <f t="shared" si="0"/>
        <v>0</v>
      </c>
      <c r="F19" s="43">
        <f t="shared" si="1"/>
        <v>192</v>
      </c>
      <c r="G19" s="44">
        <v>55</v>
      </c>
      <c r="H19" s="95">
        <f t="shared" si="11"/>
        <v>0.27918781725888325</v>
      </c>
      <c r="I19" s="17">
        <v>132</v>
      </c>
      <c r="J19" s="4">
        <v>0</v>
      </c>
      <c r="K19" s="4">
        <v>132</v>
      </c>
      <c r="L19" s="24">
        <f t="shared" si="2"/>
        <v>0</v>
      </c>
      <c r="M19" s="24">
        <f t="shared" si="3"/>
        <v>132</v>
      </c>
      <c r="N19" s="16">
        <v>12</v>
      </c>
      <c r="O19" s="97">
        <f t="shared" si="4"/>
        <v>9.0909090909090912E-2</v>
      </c>
      <c r="P19" s="49">
        <v>271</v>
      </c>
      <c r="Q19" s="42">
        <v>1</v>
      </c>
      <c r="R19" s="42">
        <v>271</v>
      </c>
      <c r="S19" s="43">
        <f t="shared" si="5"/>
        <v>0</v>
      </c>
      <c r="T19" s="43">
        <f t="shared" si="6"/>
        <v>270</v>
      </c>
      <c r="U19" s="44">
        <v>139</v>
      </c>
      <c r="V19" s="103">
        <f t="shared" si="7"/>
        <v>0.51291512915129156</v>
      </c>
      <c r="W19" s="49">
        <v>22</v>
      </c>
      <c r="X19" s="42">
        <v>0</v>
      </c>
      <c r="Y19" s="42">
        <v>22</v>
      </c>
      <c r="Z19" s="43">
        <f t="shared" si="8"/>
        <v>0</v>
      </c>
      <c r="AA19" s="43">
        <f t="shared" si="9"/>
        <v>22</v>
      </c>
      <c r="AB19" s="44">
        <v>9</v>
      </c>
      <c r="AC19" s="95">
        <f t="shared" si="10"/>
        <v>0.40909090909090912</v>
      </c>
    </row>
    <row r="20" spans="1:29" x14ac:dyDescent="0.55000000000000004">
      <c r="A20" s="5">
        <v>2003</v>
      </c>
      <c r="B20" s="48">
        <v>313</v>
      </c>
      <c r="C20" s="39">
        <v>0</v>
      </c>
      <c r="D20" s="39">
        <v>313</v>
      </c>
      <c r="E20" s="40">
        <f t="shared" si="0"/>
        <v>0</v>
      </c>
      <c r="F20" s="40">
        <f t="shared" si="1"/>
        <v>313</v>
      </c>
      <c r="G20" s="41">
        <v>70</v>
      </c>
      <c r="H20" s="94">
        <f t="shared" si="11"/>
        <v>0.22364217252396165</v>
      </c>
      <c r="I20" s="6">
        <v>154</v>
      </c>
      <c r="J20" s="20">
        <v>0</v>
      </c>
      <c r="K20" s="20">
        <v>154</v>
      </c>
      <c r="L20" s="23">
        <f t="shared" si="2"/>
        <v>0</v>
      </c>
      <c r="M20" s="23">
        <f t="shared" si="3"/>
        <v>154</v>
      </c>
      <c r="N20" s="6">
        <v>8</v>
      </c>
      <c r="O20" s="98">
        <f t="shared" si="4"/>
        <v>5.1948051948051951E-2</v>
      </c>
      <c r="P20" s="48">
        <v>439</v>
      </c>
      <c r="Q20" s="39">
        <v>0</v>
      </c>
      <c r="R20" s="39">
        <v>439</v>
      </c>
      <c r="S20" s="40">
        <f t="shared" si="5"/>
        <v>0</v>
      </c>
      <c r="T20" s="40">
        <f t="shared" si="6"/>
        <v>439</v>
      </c>
      <c r="U20" s="41">
        <v>101</v>
      </c>
      <c r="V20" s="102">
        <f t="shared" si="7"/>
        <v>0.23006833712984054</v>
      </c>
      <c r="W20" s="48">
        <v>60</v>
      </c>
      <c r="X20" s="39">
        <v>0</v>
      </c>
      <c r="Y20" s="39">
        <v>60</v>
      </c>
      <c r="Z20" s="40">
        <f t="shared" si="8"/>
        <v>0</v>
      </c>
      <c r="AA20" s="40">
        <f t="shared" si="9"/>
        <v>60</v>
      </c>
      <c r="AB20" s="41">
        <v>8</v>
      </c>
      <c r="AC20" s="94">
        <f t="shared" si="10"/>
        <v>0.13333333333333333</v>
      </c>
    </row>
    <row r="21" spans="1:29" x14ac:dyDescent="0.55000000000000004">
      <c r="A21" s="1">
        <v>2004</v>
      </c>
      <c r="B21" s="49">
        <v>473</v>
      </c>
      <c r="C21" s="54">
        <v>0</v>
      </c>
      <c r="D21" s="54">
        <v>473</v>
      </c>
      <c r="E21" s="43">
        <f t="shared" si="0"/>
        <v>0</v>
      </c>
      <c r="F21" s="43">
        <f t="shared" si="1"/>
        <v>473</v>
      </c>
      <c r="G21" s="44">
        <v>61</v>
      </c>
      <c r="H21" s="96">
        <f t="shared" si="11"/>
        <v>0.12896405919661733</v>
      </c>
      <c r="I21" s="17">
        <v>212</v>
      </c>
      <c r="J21" s="4">
        <v>0</v>
      </c>
      <c r="K21" s="4">
        <v>212</v>
      </c>
      <c r="L21" s="24">
        <f t="shared" si="2"/>
        <v>0</v>
      </c>
      <c r="M21" s="24">
        <f t="shared" si="3"/>
        <v>212</v>
      </c>
      <c r="N21" s="16">
        <v>20</v>
      </c>
      <c r="O21" s="99">
        <f t="shared" si="4"/>
        <v>9.4339622641509441E-2</v>
      </c>
      <c r="P21" s="49">
        <v>626</v>
      </c>
      <c r="Q21" s="42">
        <v>1</v>
      </c>
      <c r="R21" s="42">
        <v>626</v>
      </c>
      <c r="S21" s="43">
        <f t="shared" si="5"/>
        <v>0</v>
      </c>
      <c r="T21" s="43">
        <f t="shared" si="6"/>
        <v>625</v>
      </c>
      <c r="U21" s="44">
        <v>134</v>
      </c>
      <c r="V21" s="104">
        <f t="shared" si="7"/>
        <v>0.21405750798722045</v>
      </c>
      <c r="W21" s="49">
        <v>75</v>
      </c>
      <c r="X21" s="42">
        <v>0</v>
      </c>
      <c r="Y21" s="42">
        <v>75</v>
      </c>
      <c r="Z21" s="43">
        <f t="shared" si="8"/>
        <v>0</v>
      </c>
      <c r="AA21" s="43">
        <f t="shared" si="9"/>
        <v>75</v>
      </c>
      <c r="AB21" s="44">
        <v>6</v>
      </c>
      <c r="AC21" s="96">
        <f t="shared" si="10"/>
        <v>0.08</v>
      </c>
    </row>
    <row r="22" spans="1:29" x14ac:dyDescent="0.55000000000000004">
      <c r="A22" s="5">
        <v>2005</v>
      </c>
      <c r="B22" s="48">
        <v>803</v>
      </c>
      <c r="C22" s="39">
        <v>0</v>
      </c>
      <c r="D22" s="39">
        <v>803</v>
      </c>
      <c r="E22" s="40">
        <f t="shared" si="0"/>
        <v>0</v>
      </c>
      <c r="F22" s="40">
        <f t="shared" si="1"/>
        <v>803</v>
      </c>
      <c r="G22" s="41">
        <v>67</v>
      </c>
      <c r="H22" s="94">
        <f t="shared" si="11"/>
        <v>8.3437110834371109E-2</v>
      </c>
      <c r="I22" s="6">
        <v>211</v>
      </c>
      <c r="J22" s="20">
        <v>0</v>
      </c>
      <c r="K22" s="20">
        <v>211</v>
      </c>
      <c r="L22" s="23">
        <f t="shared" si="2"/>
        <v>0</v>
      </c>
      <c r="M22" s="23">
        <f t="shared" si="3"/>
        <v>211</v>
      </c>
      <c r="N22" s="6">
        <v>19</v>
      </c>
      <c r="O22" s="98">
        <f t="shared" si="4"/>
        <v>9.004739336492891E-2</v>
      </c>
      <c r="P22" s="48">
        <v>760</v>
      </c>
      <c r="Q22" s="39">
        <v>0</v>
      </c>
      <c r="R22" s="39">
        <v>760</v>
      </c>
      <c r="S22" s="40">
        <f t="shared" si="5"/>
        <v>0</v>
      </c>
      <c r="T22" s="40">
        <f t="shared" si="6"/>
        <v>760</v>
      </c>
      <c r="U22" s="41">
        <v>128</v>
      </c>
      <c r="V22" s="102">
        <f t="shared" si="7"/>
        <v>0.16842105263157894</v>
      </c>
      <c r="W22" s="48">
        <v>119</v>
      </c>
      <c r="X22" s="39">
        <v>0</v>
      </c>
      <c r="Y22" s="39">
        <v>119</v>
      </c>
      <c r="Z22" s="40">
        <f t="shared" si="8"/>
        <v>0</v>
      </c>
      <c r="AA22" s="40">
        <f t="shared" si="9"/>
        <v>119</v>
      </c>
      <c r="AB22" s="41">
        <v>4</v>
      </c>
      <c r="AC22" s="94">
        <f t="shared" si="10"/>
        <v>3.3613445378151259E-2</v>
      </c>
    </row>
    <row r="23" spans="1:29" x14ac:dyDescent="0.55000000000000004">
      <c r="A23" s="1">
        <v>2006</v>
      </c>
      <c r="B23" s="49">
        <v>916</v>
      </c>
      <c r="C23" s="42">
        <v>0</v>
      </c>
      <c r="D23" s="42">
        <v>916</v>
      </c>
      <c r="E23" s="43">
        <f t="shared" si="0"/>
        <v>0</v>
      </c>
      <c r="F23" s="43">
        <f t="shared" si="1"/>
        <v>916</v>
      </c>
      <c r="G23" s="44">
        <v>88</v>
      </c>
      <c r="H23" s="95">
        <f t="shared" si="11"/>
        <v>9.606986899563319E-2</v>
      </c>
      <c r="I23" s="17">
        <v>192</v>
      </c>
      <c r="J23" s="4">
        <v>1</v>
      </c>
      <c r="K23" s="4">
        <v>192</v>
      </c>
      <c r="L23" s="24">
        <f t="shared" si="2"/>
        <v>0</v>
      </c>
      <c r="M23" s="24">
        <f t="shared" si="3"/>
        <v>191</v>
      </c>
      <c r="N23" s="16">
        <v>15</v>
      </c>
      <c r="O23" s="97">
        <f t="shared" si="4"/>
        <v>7.8125E-2</v>
      </c>
      <c r="P23" s="49">
        <v>1093</v>
      </c>
      <c r="Q23" s="42">
        <v>1</v>
      </c>
      <c r="R23" s="42">
        <v>1093</v>
      </c>
      <c r="S23" s="43">
        <f t="shared" si="5"/>
        <v>0</v>
      </c>
      <c r="T23" s="43">
        <f t="shared" si="6"/>
        <v>1092</v>
      </c>
      <c r="U23" s="44">
        <v>193</v>
      </c>
      <c r="V23" s="103">
        <f t="shared" si="7"/>
        <v>0.17657822506861848</v>
      </c>
      <c r="W23" s="49">
        <v>154</v>
      </c>
      <c r="X23" s="42">
        <v>0</v>
      </c>
      <c r="Y23" s="42">
        <v>154</v>
      </c>
      <c r="Z23" s="43">
        <f t="shared" si="8"/>
        <v>0</v>
      </c>
      <c r="AA23" s="43">
        <f t="shared" si="9"/>
        <v>154</v>
      </c>
      <c r="AB23" s="44">
        <v>23</v>
      </c>
      <c r="AC23" s="95">
        <f t="shared" si="10"/>
        <v>0.14935064935064934</v>
      </c>
    </row>
    <row r="24" spans="1:29" x14ac:dyDescent="0.55000000000000004">
      <c r="A24" s="5">
        <v>2007</v>
      </c>
      <c r="B24" s="48">
        <v>914</v>
      </c>
      <c r="C24" s="39">
        <v>1</v>
      </c>
      <c r="D24" s="39">
        <v>914</v>
      </c>
      <c r="E24" s="40">
        <f t="shared" si="0"/>
        <v>0</v>
      </c>
      <c r="F24" s="40">
        <f t="shared" si="1"/>
        <v>913</v>
      </c>
      <c r="G24" s="41">
        <v>101</v>
      </c>
      <c r="H24" s="94">
        <f t="shared" si="11"/>
        <v>0.11050328227571116</v>
      </c>
      <c r="I24" s="6">
        <v>243</v>
      </c>
      <c r="J24" s="20">
        <v>0</v>
      </c>
      <c r="K24" s="20">
        <v>243</v>
      </c>
      <c r="L24" s="23">
        <f t="shared" si="2"/>
        <v>0</v>
      </c>
      <c r="M24" s="23">
        <f t="shared" si="3"/>
        <v>243</v>
      </c>
      <c r="N24" s="6">
        <v>17</v>
      </c>
      <c r="O24" s="98">
        <f t="shared" si="4"/>
        <v>6.9958847736625515E-2</v>
      </c>
      <c r="P24" s="48">
        <v>1162</v>
      </c>
      <c r="Q24" s="39">
        <v>0</v>
      </c>
      <c r="R24" s="39">
        <v>1162</v>
      </c>
      <c r="S24" s="40">
        <f t="shared" si="5"/>
        <v>0</v>
      </c>
      <c r="T24" s="40">
        <f t="shared" si="6"/>
        <v>1162</v>
      </c>
      <c r="U24" s="41">
        <v>172</v>
      </c>
      <c r="V24" s="102">
        <f t="shared" si="7"/>
        <v>0.14802065404475043</v>
      </c>
      <c r="W24" s="48">
        <v>169</v>
      </c>
      <c r="X24" s="39">
        <v>1</v>
      </c>
      <c r="Y24" s="39">
        <v>169</v>
      </c>
      <c r="Z24" s="40">
        <f t="shared" si="8"/>
        <v>0</v>
      </c>
      <c r="AA24" s="40">
        <f t="shared" si="9"/>
        <v>168</v>
      </c>
      <c r="AB24" s="41">
        <v>17</v>
      </c>
      <c r="AC24" s="94">
        <f t="shared" si="10"/>
        <v>0.10059171597633136</v>
      </c>
    </row>
    <row r="25" spans="1:29" x14ac:dyDescent="0.55000000000000004">
      <c r="A25" s="1">
        <v>2008</v>
      </c>
      <c r="B25" s="49">
        <v>1364</v>
      </c>
      <c r="C25" s="42">
        <v>2</v>
      </c>
      <c r="D25" s="42">
        <v>1363</v>
      </c>
      <c r="E25" s="43">
        <f t="shared" si="0"/>
        <v>1</v>
      </c>
      <c r="F25" s="43">
        <f t="shared" si="1"/>
        <v>1362</v>
      </c>
      <c r="G25" s="44">
        <v>116</v>
      </c>
      <c r="H25" s="95">
        <f t="shared" si="11"/>
        <v>8.5043988269794715E-2</v>
      </c>
      <c r="I25" s="17">
        <v>317</v>
      </c>
      <c r="J25" s="4">
        <v>0</v>
      </c>
      <c r="K25" s="4">
        <v>317</v>
      </c>
      <c r="L25" s="24">
        <f t="shared" si="2"/>
        <v>0</v>
      </c>
      <c r="M25" s="24">
        <f t="shared" si="3"/>
        <v>317</v>
      </c>
      <c r="N25" s="16">
        <v>23</v>
      </c>
      <c r="O25" s="97">
        <f t="shared" si="4"/>
        <v>7.2555205047318619E-2</v>
      </c>
      <c r="P25" s="49">
        <v>1399</v>
      </c>
      <c r="Q25" s="42">
        <v>0</v>
      </c>
      <c r="R25" s="42">
        <v>1399</v>
      </c>
      <c r="S25" s="43">
        <f t="shared" si="5"/>
        <v>0</v>
      </c>
      <c r="T25" s="43">
        <f t="shared" si="6"/>
        <v>1399</v>
      </c>
      <c r="U25" s="44">
        <v>203</v>
      </c>
      <c r="V25" s="103">
        <f t="shared" si="7"/>
        <v>0.1451036454610436</v>
      </c>
      <c r="W25" s="49">
        <v>198</v>
      </c>
      <c r="X25" s="42">
        <v>1</v>
      </c>
      <c r="Y25" s="42">
        <v>198</v>
      </c>
      <c r="Z25" s="43">
        <f t="shared" si="8"/>
        <v>0</v>
      </c>
      <c r="AA25" s="43">
        <f t="shared" si="9"/>
        <v>197</v>
      </c>
      <c r="AB25" s="44">
        <v>13</v>
      </c>
      <c r="AC25" s="95">
        <f t="shared" si="10"/>
        <v>6.5656565656565663E-2</v>
      </c>
    </row>
    <row r="26" spans="1:29" x14ac:dyDescent="0.55000000000000004">
      <c r="A26" s="5">
        <v>2009</v>
      </c>
      <c r="B26" s="48">
        <v>1650</v>
      </c>
      <c r="C26" s="39">
        <v>4</v>
      </c>
      <c r="D26" s="39">
        <v>1650</v>
      </c>
      <c r="E26" s="40">
        <f t="shared" si="0"/>
        <v>0</v>
      </c>
      <c r="F26" s="40">
        <f t="shared" si="1"/>
        <v>1646</v>
      </c>
      <c r="G26" s="41">
        <v>131</v>
      </c>
      <c r="H26" s="94">
        <f t="shared" si="11"/>
        <v>7.9393939393939392E-2</v>
      </c>
      <c r="I26" s="6">
        <v>333</v>
      </c>
      <c r="J26" s="20">
        <v>0</v>
      </c>
      <c r="K26" s="20">
        <v>333</v>
      </c>
      <c r="L26" s="23">
        <f t="shared" si="2"/>
        <v>0</v>
      </c>
      <c r="M26" s="23">
        <f t="shared" si="3"/>
        <v>333</v>
      </c>
      <c r="N26" s="6">
        <v>28</v>
      </c>
      <c r="O26" s="98">
        <f t="shared" si="4"/>
        <v>8.408408408408409E-2</v>
      </c>
      <c r="P26" s="48">
        <v>1426</v>
      </c>
      <c r="Q26" s="39">
        <v>0</v>
      </c>
      <c r="R26" s="39">
        <v>1426</v>
      </c>
      <c r="S26" s="40">
        <f t="shared" si="5"/>
        <v>0</v>
      </c>
      <c r="T26" s="40">
        <f t="shared" si="6"/>
        <v>1426</v>
      </c>
      <c r="U26" s="41">
        <v>161</v>
      </c>
      <c r="V26" s="102">
        <f t="shared" si="7"/>
        <v>0.11290322580645161</v>
      </c>
      <c r="W26" s="48">
        <v>189</v>
      </c>
      <c r="X26" s="39">
        <v>0</v>
      </c>
      <c r="Y26" s="39">
        <v>189</v>
      </c>
      <c r="Z26" s="40">
        <f t="shared" si="8"/>
        <v>0</v>
      </c>
      <c r="AA26" s="40">
        <f t="shared" si="9"/>
        <v>189</v>
      </c>
      <c r="AB26" s="41">
        <v>25</v>
      </c>
      <c r="AC26" s="94">
        <f t="shared" si="10"/>
        <v>0.13227513227513227</v>
      </c>
    </row>
    <row r="27" spans="1:29" x14ac:dyDescent="0.55000000000000004">
      <c r="A27" s="1">
        <v>2010</v>
      </c>
      <c r="B27" s="49">
        <v>2021</v>
      </c>
      <c r="C27" s="42">
        <v>0</v>
      </c>
      <c r="D27" s="42">
        <v>2021</v>
      </c>
      <c r="E27" s="43">
        <f t="shared" si="0"/>
        <v>0</v>
      </c>
      <c r="F27" s="43">
        <f t="shared" si="1"/>
        <v>2021</v>
      </c>
      <c r="G27" s="44">
        <v>153</v>
      </c>
      <c r="H27" s="95">
        <f t="shared" si="11"/>
        <v>7.5705096486887682E-2</v>
      </c>
      <c r="I27" s="17">
        <v>336</v>
      </c>
      <c r="J27" s="4">
        <v>0</v>
      </c>
      <c r="K27" s="4">
        <v>336</v>
      </c>
      <c r="L27" s="24">
        <f t="shared" si="2"/>
        <v>0</v>
      </c>
      <c r="M27" s="24">
        <f t="shared" si="3"/>
        <v>336</v>
      </c>
      <c r="N27" s="16">
        <v>24</v>
      </c>
      <c r="O27" s="97">
        <f t="shared" si="4"/>
        <v>7.1428571428571425E-2</v>
      </c>
      <c r="P27" s="49">
        <v>1519</v>
      </c>
      <c r="Q27" s="54">
        <v>1</v>
      </c>
      <c r="R27" s="42">
        <v>1519</v>
      </c>
      <c r="S27" s="43">
        <f t="shared" si="5"/>
        <v>0</v>
      </c>
      <c r="T27" s="43">
        <f t="shared" si="6"/>
        <v>1518</v>
      </c>
      <c r="U27" s="44">
        <v>226</v>
      </c>
      <c r="V27" s="103">
        <f t="shared" si="7"/>
        <v>0.14878209348255431</v>
      </c>
      <c r="W27" s="49">
        <v>244</v>
      </c>
      <c r="X27" s="42">
        <v>0</v>
      </c>
      <c r="Y27" s="42">
        <v>244</v>
      </c>
      <c r="Z27" s="43">
        <f t="shared" si="8"/>
        <v>0</v>
      </c>
      <c r="AA27" s="43">
        <f t="shared" si="9"/>
        <v>244</v>
      </c>
      <c r="AB27" s="44">
        <v>14</v>
      </c>
      <c r="AC27" s="95">
        <f t="shared" si="10"/>
        <v>5.737704918032787E-2</v>
      </c>
    </row>
    <row r="28" spans="1:29" x14ac:dyDescent="0.55000000000000004">
      <c r="A28" s="5">
        <v>2011</v>
      </c>
      <c r="B28" s="48">
        <v>1646</v>
      </c>
      <c r="C28" s="41">
        <v>1</v>
      </c>
      <c r="D28" s="41">
        <v>1646</v>
      </c>
      <c r="E28" s="40">
        <f t="shared" si="0"/>
        <v>0</v>
      </c>
      <c r="F28" s="40">
        <f t="shared" si="1"/>
        <v>1645</v>
      </c>
      <c r="G28" s="41">
        <v>108</v>
      </c>
      <c r="H28" s="94">
        <f t="shared" si="11"/>
        <v>6.561360874848117E-2</v>
      </c>
      <c r="I28" s="6">
        <v>321</v>
      </c>
      <c r="J28" s="6">
        <v>2</v>
      </c>
      <c r="K28" s="6">
        <v>321</v>
      </c>
      <c r="L28" s="23">
        <f t="shared" si="2"/>
        <v>0</v>
      </c>
      <c r="M28" s="23">
        <f t="shared" si="3"/>
        <v>319</v>
      </c>
      <c r="N28" s="6">
        <v>32</v>
      </c>
      <c r="O28" s="98">
        <f t="shared" si="4"/>
        <v>9.9688473520249218E-2</v>
      </c>
      <c r="P28" s="48">
        <v>1755</v>
      </c>
      <c r="Q28" s="41">
        <v>0</v>
      </c>
      <c r="R28" s="41">
        <v>1755</v>
      </c>
      <c r="S28" s="40">
        <f t="shared" si="5"/>
        <v>0</v>
      </c>
      <c r="T28" s="40">
        <f t="shared" si="6"/>
        <v>1755</v>
      </c>
      <c r="U28" s="41">
        <v>255</v>
      </c>
      <c r="V28" s="102">
        <f t="shared" si="7"/>
        <v>0.14529914529914531</v>
      </c>
      <c r="W28" s="48">
        <v>289</v>
      </c>
      <c r="X28" s="41">
        <v>0</v>
      </c>
      <c r="Y28" s="41">
        <v>289</v>
      </c>
      <c r="Z28" s="40">
        <f t="shared" si="8"/>
        <v>0</v>
      </c>
      <c r="AA28" s="40">
        <f t="shared" si="9"/>
        <v>289</v>
      </c>
      <c r="AB28" s="41">
        <v>20</v>
      </c>
      <c r="AC28" s="94">
        <f t="shared" si="10"/>
        <v>6.9204152249134954E-2</v>
      </c>
    </row>
    <row r="29" spans="1:29" x14ac:dyDescent="0.55000000000000004">
      <c r="A29" s="1">
        <v>2012</v>
      </c>
      <c r="B29" s="49">
        <v>1912</v>
      </c>
      <c r="C29" s="45">
        <v>17</v>
      </c>
      <c r="D29" s="45">
        <v>1904</v>
      </c>
      <c r="E29" s="43">
        <f t="shared" si="0"/>
        <v>8</v>
      </c>
      <c r="F29" s="43">
        <f t="shared" si="1"/>
        <v>1895</v>
      </c>
      <c r="G29" s="44">
        <v>124</v>
      </c>
      <c r="H29" s="95">
        <f t="shared" si="11"/>
        <v>6.4853556485355651E-2</v>
      </c>
      <c r="I29" s="17">
        <v>327</v>
      </c>
      <c r="J29">
        <v>21</v>
      </c>
      <c r="K29">
        <v>320</v>
      </c>
      <c r="L29" s="24">
        <f t="shared" si="2"/>
        <v>7</v>
      </c>
      <c r="M29" s="24">
        <f t="shared" si="3"/>
        <v>306</v>
      </c>
      <c r="N29" s="16">
        <v>34</v>
      </c>
      <c r="O29" s="97">
        <f t="shared" si="4"/>
        <v>0.10397553516819572</v>
      </c>
      <c r="P29" s="49">
        <v>1780</v>
      </c>
      <c r="Q29" s="76">
        <v>5</v>
      </c>
      <c r="R29" s="45">
        <v>1780</v>
      </c>
      <c r="S29" s="43">
        <f t="shared" si="5"/>
        <v>0</v>
      </c>
      <c r="T29" s="43">
        <f t="shared" si="6"/>
        <v>1775</v>
      </c>
      <c r="U29" s="44">
        <v>235</v>
      </c>
      <c r="V29" s="103">
        <f t="shared" si="7"/>
        <v>0.13202247191011235</v>
      </c>
      <c r="W29" s="49">
        <v>279</v>
      </c>
      <c r="X29" s="45">
        <v>2</v>
      </c>
      <c r="Y29" s="45">
        <v>277</v>
      </c>
      <c r="Z29" s="43">
        <f t="shared" si="8"/>
        <v>2</v>
      </c>
      <c r="AA29" s="43">
        <f t="shared" si="9"/>
        <v>277</v>
      </c>
      <c r="AB29" s="44">
        <v>15</v>
      </c>
      <c r="AC29" s="95">
        <f t="shared" si="10"/>
        <v>5.3763440860215055E-2</v>
      </c>
    </row>
    <row r="30" spans="1:29" x14ac:dyDescent="0.55000000000000004">
      <c r="A30" s="5">
        <v>2013</v>
      </c>
      <c r="B30" s="48">
        <v>1801</v>
      </c>
      <c r="C30" s="41">
        <v>234</v>
      </c>
      <c r="D30" s="41">
        <v>1727</v>
      </c>
      <c r="E30" s="40">
        <f t="shared" si="0"/>
        <v>74</v>
      </c>
      <c r="F30" s="40">
        <f t="shared" si="1"/>
        <v>1567</v>
      </c>
      <c r="G30" s="41">
        <v>119</v>
      </c>
      <c r="H30" s="94">
        <f t="shared" si="11"/>
        <v>6.6074403109383673E-2</v>
      </c>
      <c r="I30" s="6">
        <v>347</v>
      </c>
      <c r="J30" s="6">
        <v>126</v>
      </c>
      <c r="K30" s="6">
        <v>314</v>
      </c>
      <c r="L30" s="23">
        <f t="shared" si="2"/>
        <v>33</v>
      </c>
      <c r="M30" s="23">
        <f t="shared" si="3"/>
        <v>221</v>
      </c>
      <c r="N30" s="6">
        <v>29</v>
      </c>
      <c r="O30" s="98">
        <f t="shared" si="4"/>
        <v>8.3573487031700283E-2</v>
      </c>
      <c r="P30" s="48">
        <v>1652</v>
      </c>
      <c r="Q30" s="41">
        <v>72</v>
      </c>
      <c r="R30" s="41">
        <v>1638</v>
      </c>
      <c r="S30" s="40">
        <f t="shared" si="5"/>
        <v>14</v>
      </c>
      <c r="T30" s="40">
        <f t="shared" si="6"/>
        <v>1580</v>
      </c>
      <c r="U30" s="41">
        <v>288</v>
      </c>
      <c r="V30" s="102">
        <f t="shared" si="7"/>
        <v>0.17433414043583534</v>
      </c>
      <c r="W30" s="48">
        <v>314</v>
      </c>
      <c r="X30" s="41">
        <v>8</v>
      </c>
      <c r="Y30" s="41">
        <v>311</v>
      </c>
      <c r="Z30" s="40">
        <f t="shared" si="8"/>
        <v>3</v>
      </c>
      <c r="AA30" s="40">
        <f t="shared" si="9"/>
        <v>306</v>
      </c>
      <c r="AB30" s="41">
        <v>22</v>
      </c>
      <c r="AC30" s="94">
        <f t="shared" si="10"/>
        <v>7.0063694267515922E-2</v>
      </c>
    </row>
    <row r="31" spans="1:29" x14ac:dyDescent="0.55000000000000004">
      <c r="A31" s="1">
        <v>2014</v>
      </c>
      <c r="B31" s="49">
        <v>1681</v>
      </c>
      <c r="C31" s="45">
        <v>433</v>
      </c>
      <c r="D31" s="45">
        <v>1496</v>
      </c>
      <c r="E31" s="43">
        <f t="shared" si="0"/>
        <v>185</v>
      </c>
      <c r="F31" s="43">
        <f t="shared" si="1"/>
        <v>1248</v>
      </c>
      <c r="G31" s="44">
        <v>109</v>
      </c>
      <c r="H31" s="95">
        <f t="shared" si="11"/>
        <v>6.4842355740630575E-2</v>
      </c>
      <c r="I31" s="17">
        <v>371</v>
      </c>
      <c r="J31">
        <v>264</v>
      </c>
      <c r="K31">
        <v>317</v>
      </c>
      <c r="L31" s="24">
        <f t="shared" si="2"/>
        <v>54</v>
      </c>
      <c r="M31" s="24">
        <f t="shared" si="3"/>
        <v>107</v>
      </c>
      <c r="N31" s="16">
        <v>28</v>
      </c>
      <c r="O31" s="97">
        <f t="shared" si="4"/>
        <v>7.5471698113207544E-2</v>
      </c>
      <c r="P31" s="49">
        <v>1981</v>
      </c>
      <c r="Q31" s="55">
        <v>296</v>
      </c>
      <c r="R31" s="45">
        <v>1930</v>
      </c>
      <c r="S31" s="43">
        <f t="shared" si="5"/>
        <v>51</v>
      </c>
      <c r="T31" s="43">
        <f t="shared" si="6"/>
        <v>1685</v>
      </c>
      <c r="U31" s="44">
        <v>263</v>
      </c>
      <c r="V31" s="103">
        <f t="shared" si="7"/>
        <v>0.13276123170116103</v>
      </c>
      <c r="W31" s="49">
        <v>327</v>
      </c>
      <c r="X31" s="45">
        <v>26</v>
      </c>
      <c r="Y31" s="45">
        <v>313</v>
      </c>
      <c r="Z31" s="43">
        <f t="shared" si="8"/>
        <v>14</v>
      </c>
      <c r="AA31" s="43">
        <f t="shared" si="9"/>
        <v>301</v>
      </c>
      <c r="AB31" s="44">
        <v>33</v>
      </c>
      <c r="AC31" s="95">
        <f t="shared" si="10"/>
        <v>0.10091743119266056</v>
      </c>
    </row>
    <row r="32" spans="1:29" x14ac:dyDescent="0.55000000000000004">
      <c r="A32" s="5">
        <v>2015</v>
      </c>
      <c r="B32" s="48">
        <v>1761</v>
      </c>
      <c r="C32" s="41">
        <v>516</v>
      </c>
      <c r="D32" s="41">
        <v>1559</v>
      </c>
      <c r="E32" s="40">
        <f t="shared" si="0"/>
        <v>202</v>
      </c>
      <c r="F32" s="40">
        <f t="shared" si="1"/>
        <v>1245</v>
      </c>
      <c r="G32" s="41">
        <v>118</v>
      </c>
      <c r="H32" s="94">
        <f t="shared" si="11"/>
        <v>6.7007382169222029E-2</v>
      </c>
      <c r="I32" s="6">
        <v>356</v>
      </c>
      <c r="J32" s="6">
        <v>289</v>
      </c>
      <c r="K32" s="6">
        <v>273</v>
      </c>
      <c r="L32" s="23">
        <f t="shared" si="2"/>
        <v>83</v>
      </c>
      <c r="M32" s="23">
        <f t="shared" si="3"/>
        <v>67</v>
      </c>
      <c r="N32" s="6">
        <v>33</v>
      </c>
      <c r="O32" s="98">
        <f t="shared" si="4"/>
        <v>9.269662921348315E-2</v>
      </c>
      <c r="P32" s="48">
        <v>1966</v>
      </c>
      <c r="Q32" s="41">
        <v>416</v>
      </c>
      <c r="R32" s="41">
        <v>1897</v>
      </c>
      <c r="S32" s="40">
        <f t="shared" si="5"/>
        <v>69</v>
      </c>
      <c r="T32" s="40">
        <f t="shared" si="6"/>
        <v>1550</v>
      </c>
      <c r="U32" s="41">
        <v>280</v>
      </c>
      <c r="V32" s="102">
        <f t="shared" si="7"/>
        <v>0.14242115971515767</v>
      </c>
      <c r="W32" s="48">
        <v>476</v>
      </c>
      <c r="X32" s="41">
        <v>67</v>
      </c>
      <c r="Y32" s="41">
        <v>444</v>
      </c>
      <c r="Z32" s="40">
        <f t="shared" si="8"/>
        <v>32</v>
      </c>
      <c r="AA32" s="40">
        <f t="shared" si="9"/>
        <v>409</v>
      </c>
      <c r="AB32" s="41">
        <v>29</v>
      </c>
      <c r="AC32" s="94">
        <f t="shared" si="10"/>
        <v>6.0924369747899158E-2</v>
      </c>
    </row>
    <row r="33" spans="1:42" x14ac:dyDescent="0.55000000000000004">
      <c r="A33" s="1">
        <v>2016</v>
      </c>
      <c r="B33" s="49">
        <v>1757</v>
      </c>
      <c r="C33" s="45">
        <v>531</v>
      </c>
      <c r="D33" s="55">
        <v>1569</v>
      </c>
      <c r="E33" s="43">
        <f t="shared" si="0"/>
        <v>188</v>
      </c>
      <c r="F33" s="43">
        <f t="shared" si="1"/>
        <v>1226</v>
      </c>
      <c r="G33" s="44">
        <v>99</v>
      </c>
      <c r="H33" s="95">
        <f t="shared" si="11"/>
        <v>5.6346044393853156E-2</v>
      </c>
      <c r="I33" s="17">
        <v>463</v>
      </c>
      <c r="J33">
        <v>334</v>
      </c>
      <c r="K33">
        <v>355</v>
      </c>
      <c r="L33" s="24">
        <f t="shared" si="2"/>
        <v>108</v>
      </c>
      <c r="M33" s="24">
        <f t="shared" si="3"/>
        <v>129</v>
      </c>
      <c r="N33" s="16">
        <v>57</v>
      </c>
      <c r="O33" s="97">
        <f t="shared" si="4"/>
        <v>0.12311015118790497</v>
      </c>
      <c r="P33" s="49">
        <v>2004</v>
      </c>
      <c r="Q33" s="55">
        <v>609</v>
      </c>
      <c r="R33" s="55">
        <v>1905</v>
      </c>
      <c r="S33" s="43">
        <f t="shared" si="5"/>
        <v>99</v>
      </c>
      <c r="T33" s="43">
        <f t="shared" si="6"/>
        <v>1395</v>
      </c>
      <c r="U33" s="44">
        <v>269</v>
      </c>
      <c r="V33" s="103">
        <f t="shared" si="7"/>
        <v>0.1342315369261477</v>
      </c>
      <c r="W33" s="49">
        <v>416</v>
      </c>
      <c r="X33" s="45">
        <v>77</v>
      </c>
      <c r="Y33" s="45">
        <v>391</v>
      </c>
      <c r="Z33" s="43">
        <f t="shared" si="8"/>
        <v>25</v>
      </c>
      <c r="AA33" s="43">
        <f t="shared" si="9"/>
        <v>339</v>
      </c>
      <c r="AB33" s="44">
        <v>40</v>
      </c>
      <c r="AC33" s="95">
        <f t="shared" si="10"/>
        <v>9.6153846153846159E-2</v>
      </c>
    </row>
    <row r="34" spans="1:42" x14ac:dyDescent="0.55000000000000004">
      <c r="A34" s="5">
        <v>2017</v>
      </c>
      <c r="B34" s="48">
        <v>1740</v>
      </c>
      <c r="C34" s="41">
        <v>542</v>
      </c>
      <c r="D34" s="41">
        <v>1522</v>
      </c>
      <c r="E34" s="40">
        <f t="shared" si="0"/>
        <v>218</v>
      </c>
      <c r="F34" s="40">
        <f t="shared" si="1"/>
        <v>1198</v>
      </c>
      <c r="G34" s="41">
        <v>150</v>
      </c>
      <c r="H34" s="94">
        <f t="shared" si="11"/>
        <v>8.6206896551724144E-2</v>
      </c>
      <c r="I34" s="6">
        <v>619</v>
      </c>
      <c r="J34" s="6">
        <v>313</v>
      </c>
      <c r="K34" s="6">
        <v>490</v>
      </c>
      <c r="L34" s="23">
        <f t="shared" si="2"/>
        <v>129</v>
      </c>
      <c r="M34" s="23">
        <f t="shared" si="3"/>
        <v>306</v>
      </c>
      <c r="N34" s="6">
        <v>81</v>
      </c>
      <c r="O34" s="98">
        <f t="shared" si="4"/>
        <v>0.13085621970920841</v>
      </c>
      <c r="P34" s="48">
        <v>2179</v>
      </c>
      <c r="Q34" s="41">
        <v>702</v>
      </c>
      <c r="R34" s="41">
        <v>2078</v>
      </c>
      <c r="S34" s="40">
        <f t="shared" si="5"/>
        <v>101</v>
      </c>
      <c r="T34" s="40">
        <f t="shared" si="6"/>
        <v>1477</v>
      </c>
      <c r="U34" s="41">
        <v>298</v>
      </c>
      <c r="V34" s="102">
        <f t="shared" si="7"/>
        <v>0.1367599816429555</v>
      </c>
      <c r="W34" s="48">
        <v>413</v>
      </c>
      <c r="X34" s="41">
        <v>75</v>
      </c>
      <c r="Y34" s="41">
        <v>374</v>
      </c>
      <c r="Z34" s="40">
        <f t="shared" si="8"/>
        <v>39</v>
      </c>
      <c r="AA34" s="40">
        <f t="shared" si="9"/>
        <v>338</v>
      </c>
      <c r="AB34" s="41">
        <v>34</v>
      </c>
      <c r="AC34" s="94">
        <f t="shared" si="10"/>
        <v>8.2324455205811137E-2</v>
      </c>
    </row>
    <row r="35" spans="1:42" x14ac:dyDescent="0.55000000000000004">
      <c r="A35" s="1">
        <v>2018</v>
      </c>
      <c r="B35" s="49">
        <v>1904</v>
      </c>
      <c r="C35" s="45">
        <v>732</v>
      </c>
      <c r="D35" s="55">
        <v>1645</v>
      </c>
      <c r="E35" s="43">
        <f t="shared" si="0"/>
        <v>259</v>
      </c>
      <c r="F35" s="43">
        <f t="shared" si="1"/>
        <v>1172</v>
      </c>
      <c r="G35" s="44">
        <v>209</v>
      </c>
      <c r="H35" s="95">
        <f t="shared" si="11"/>
        <v>0.10976890756302521</v>
      </c>
      <c r="I35" s="17">
        <v>657</v>
      </c>
      <c r="J35">
        <v>357</v>
      </c>
      <c r="K35">
        <v>539</v>
      </c>
      <c r="L35" s="24">
        <f t="shared" si="2"/>
        <v>118</v>
      </c>
      <c r="M35" s="24">
        <f t="shared" si="3"/>
        <v>300</v>
      </c>
      <c r="N35" s="16">
        <v>90</v>
      </c>
      <c r="O35" s="97">
        <f t="shared" si="4"/>
        <v>0.13698630136986301</v>
      </c>
      <c r="P35" s="49">
        <v>2696</v>
      </c>
      <c r="Q35" s="55">
        <v>998</v>
      </c>
      <c r="R35" s="55">
        <v>2509</v>
      </c>
      <c r="S35" s="43">
        <f t="shared" si="5"/>
        <v>187</v>
      </c>
      <c r="T35" s="43">
        <f t="shared" si="6"/>
        <v>1698</v>
      </c>
      <c r="U35" s="44">
        <v>351</v>
      </c>
      <c r="V35" s="103">
        <f t="shared" si="7"/>
        <v>0.13019287833827894</v>
      </c>
      <c r="W35" s="49">
        <v>355</v>
      </c>
      <c r="X35" s="45">
        <v>91</v>
      </c>
      <c r="Y35" s="45">
        <v>323</v>
      </c>
      <c r="Z35" s="43">
        <f t="shared" si="8"/>
        <v>32</v>
      </c>
      <c r="AA35" s="43">
        <f t="shared" si="9"/>
        <v>264</v>
      </c>
      <c r="AB35" s="44">
        <v>41</v>
      </c>
      <c r="AC35" s="95">
        <f t="shared" si="10"/>
        <v>0.11549295774647887</v>
      </c>
    </row>
    <row r="36" spans="1:42" x14ac:dyDescent="0.55000000000000004">
      <c r="A36" s="5">
        <v>2019</v>
      </c>
      <c r="B36" s="48">
        <v>1955</v>
      </c>
      <c r="C36" s="41">
        <v>691</v>
      </c>
      <c r="D36" s="41">
        <v>1691</v>
      </c>
      <c r="E36" s="40">
        <f t="shared" si="0"/>
        <v>264</v>
      </c>
      <c r="F36" s="40">
        <f t="shared" si="1"/>
        <v>1264</v>
      </c>
      <c r="G36" s="41">
        <v>321</v>
      </c>
      <c r="H36" s="94">
        <f t="shared" si="11"/>
        <v>0.16419437340153453</v>
      </c>
      <c r="I36" s="6">
        <v>698</v>
      </c>
      <c r="J36" s="6">
        <v>344</v>
      </c>
      <c r="K36" s="6">
        <v>577</v>
      </c>
      <c r="L36" s="23">
        <f t="shared" si="2"/>
        <v>121</v>
      </c>
      <c r="M36" s="23">
        <f t="shared" si="3"/>
        <v>354</v>
      </c>
      <c r="N36" s="6">
        <v>81</v>
      </c>
      <c r="O36" s="98">
        <f t="shared" si="4"/>
        <v>0.11604584527220631</v>
      </c>
      <c r="P36" s="48">
        <v>2872</v>
      </c>
      <c r="Q36" s="41">
        <v>959</v>
      </c>
      <c r="R36" s="41">
        <v>2705</v>
      </c>
      <c r="S36" s="40">
        <f t="shared" si="5"/>
        <v>167</v>
      </c>
      <c r="T36" s="40">
        <f t="shared" si="6"/>
        <v>1913</v>
      </c>
      <c r="U36" s="41">
        <v>474</v>
      </c>
      <c r="V36" s="102">
        <f t="shared" si="7"/>
        <v>0.16504178272980502</v>
      </c>
      <c r="W36" s="48">
        <v>391</v>
      </c>
      <c r="X36" s="41">
        <v>94</v>
      </c>
      <c r="Y36" s="41">
        <v>361</v>
      </c>
      <c r="Z36" s="40">
        <f t="shared" si="8"/>
        <v>30</v>
      </c>
      <c r="AA36" s="40">
        <f t="shared" si="9"/>
        <v>297</v>
      </c>
      <c r="AB36" s="41">
        <v>52</v>
      </c>
      <c r="AC36" s="94">
        <f t="shared" si="10"/>
        <v>0.13299232736572891</v>
      </c>
    </row>
    <row r="37" spans="1:42" x14ac:dyDescent="0.55000000000000004">
      <c r="A37" s="1">
        <v>2020</v>
      </c>
      <c r="B37" s="49">
        <v>2084</v>
      </c>
      <c r="C37" s="45">
        <v>864</v>
      </c>
      <c r="D37" s="55">
        <v>1807</v>
      </c>
      <c r="E37" s="43">
        <f t="shared" si="0"/>
        <v>277</v>
      </c>
      <c r="F37" s="43">
        <f t="shared" si="1"/>
        <v>1220</v>
      </c>
      <c r="G37" s="44">
        <v>456</v>
      </c>
      <c r="H37" s="95">
        <f t="shared" si="11"/>
        <v>0.21880998080614203</v>
      </c>
      <c r="I37" s="17">
        <v>713</v>
      </c>
      <c r="J37">
        <v>375</v>
      </c>
      <c r="K37">
        <v>556</v>
      </c>
      <c r="L37" s="24">
        <f t="shared" si="2"/>
        <v>157</v>
      </c>
      <c r="M37" s="24">
        <f t="shared" si="3"/>
        <v>338</v>
      </c>
      <c r="N37" s="16">
        <v>142</v>
      </c>
      <c r="O37" s="97">
        <f t="shared" si="4"/>
        <v>0.19915848527349228</v>
      </c>
      <c r="P37" s="49">
        <v>3098</v>
      </c>
      <c r="Q37" s="55">
        <v>1088</v>
      </c>
      <c r="R37" s="55">
        <v>2892</v>
      </c>
      <c r="S37" s="43">
        <f t="shared" si="5"/>
        <v>206</v>
      </c>
      <c r="T37" s="43">
        <f t="shared" si="6"/>
        <v>2010</v>
      </c>
      <c r="U37" s="44">
        <v>585</v>
      </c>
      <c r="V37" s="103">
        <f t="shared" si="7"/>
        <v>0.18883150419625566</v>
      </c>
      <c r="W37" s="49">
        <v>418</v>
      </c>
      <c r="X37" s="45">
        <v>86</v>
      </c>
      <c r="Y37" s="45">
        <v>386</v>
      </c>
      <c r="Z37" s="43">
        <f t="shared" si="8"/>
        <v>32</v>
      </c>
      <c r="AA37" s="43">
        <f t="shared" si="9"/>
        <v>332</v>
      </c>
      <c r="AB37" s="44">
        <v>89</v>
      </c>
      <c r="AC37" s="95">
        <f t="shared" si="10"/>
        <v>0.21291866028708134</v>
      </c>
    </row>
    <row r="38" spans="1:42" x14ac:dyDescent="0.55000000000000004">
      <c r="A38" s="5">
        <v>2021</v>
      </c>
      <c r="B38" s="48">
        <v>2481</v>
      </c>
      <c r="C38" s="41">
        <v>1045</v>
      </c>
      <c r="D38" s="41">
        <v>2175</v>
      </c>
      <c r="E38" s="40">
        <f t="shared" si="0"/>
        <v>306</v>
      </c>
      <c r="F38" s="40">
        <f t="shared" si="1"/>
        <v>1436</v>
      </c>
      <c r="G38" s="41">
        <v>865</v>
      </c>
      <c r="H38" s="94">
        <f t="shared" si="11"/>
        <v>0.34864973800886739</v>
      </c>
      <c r="I38" s="6">
        <v>1216</v>
      </c>
      <c r="J38" s="6">
        <v>480</v>
      </c>
      <c r="K38" s="6">
        <v>997</v>
      </c>
      <c r="L38" s="23">
        <f t="shared" si="2"/>
        <v>219</v>
      </c>
      <c r="M38" s="23">
        <f t="shared" si="3"/>
        <v>736</v>
      </c>
      <c r="N38" s="6">
        <v>204</v>
      </c>
      <c r="O38" s="98">
        <f t="shared" si="4"/>
        <v>0.16776315789473684</v>
      </c>
      <c r="P38" s="48">
        <v>4240</v>
      </c>
      <c r="Q38" s="41">
        <v>1442</v>
      </c>
      <c r="R38" s="41">
        <v>3930</v>
      </c>
      <c r="S38" s="40">
        <f t="shared" si="5"/>
        <v>310</v>
      </c>
      <c r="T38" s="40">
        <f t="shared" si="6"/>
        <v>2798</v>
      </c>
      <c r="U38" s="41">
        <v>806</v>
      </c>
      <c r="V38" s="102">
        <f t="shared" si="7"/>
        <v>0.19009433962264152</v>
      </c>
      <c r="W38" s="48">
        <v>462</v>
      </c>
      <c r="X38" s="41">
        <v>117</v>
      </c>
      <c r="Y38" s="41">
        <v>418</v>
      </c>
      <c r="Z38" s="40">
        <f t="shared" si="8"/>
        <v>44</v>
      </c>
      <c r="AA38" s="40">
        <f t="shared" si="9"/>
        <v>345</v>
      </c>
      <c r="AB38" s="41">
        <v>171</v>
      </c>
      <c r="AC38" s="94">
        <f t="shared" si="10"/>
        <v>0.37012987012987014</v>
      </c>
    </row>
    <row r="39" spans="1:42" x14ac:dyDescent="0.55000000000000004">
      <c r="A39" s="1">
        <v>2022</v>
      </c>
      <c r="B39" s="49">
        <v>2845</v>
      </c>
      <c r="C39" s="45">
        <v>920</v>
      </c>
      <c r="D39" s="55">
        <v>2508</v>
      </c>
      <c r="E39" s="43">
        <f t="shared" si="0"/>
        <v>337</v>
      </c>
      <c r="F39" s="43">
        <f t="shared" si="1"/>
        <v>1925</v>
      </c>
      <c r="G39" s="44">
        <v>1184</v>
      </c>
      <c r="H39" s="95">
        <f t="shared" si="11"/>
        <v>0.41616871704745168</v>
      </c>
      <c r="I39" s="17">
        <v>824</v>
      </c>
      <c r="J39">
        <v>365</v>
      </c>
      <c r="K39">
        <v>681</v>
      </c>
      <c r="L39" s="24">
        <f t="shared" si="2"/>
        <v>143</v>
      </c>
      <c r="M39" s="24">
        <f t="shared" si="3"/>
        <v>459</v>
      </c>
      <c r="N39" s="16">
        <v>281</v>
      </c>
      <c r="O39" s="97">
        <f t="shared" si="4"/>
        <v>0.34101941747572817</v>
      </c>
      <c r="P39" s="49">
        <v>5171</v>
      </c>
      <c r="Q39" s="55">
        <v>1656</v>
      </c>
      <c r="R39" s="55">
        <v>4774</v>
      </c>
      <c r="S39" s="43">
        <f t="shared" si="5"/>
        <v>397</v>
      </c>
      <c r="T39" s="43">
        <f t="shared" si="6"/>
        <v>3515</v>
      </c>
      <c r="U39" s="44">
        <v>1131</v>
      </c>
      <c r="V39" s="103">
        <f t="shared" si="7"/>
        <v>0.2187197834074647</v>
      </c>
      <c r="W39" s="49">
        <v>498</v>
      </c>
      <c r="X39" s="45">
        <v>103</v>
      </c>
      <c r="Y39" s="45">
        <v>452</v>
      </c>
      <c r="Z39" s="43">
        <f t="shared" si="8"/>
        <v>46</v>
      </c>
      <c r="AA39" s="43">
        <f t="shared" si="9"/>
        <v>395</v>
      </c>
      <c r="AB39" s="44">
        <v>309</v>
      </c>
      <c r="AC39" s="95">
        <f t="shared" si="10"/>
        <v>0.62048192771084343</v>
      </c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</row>
    <row r="40" spans="1:42" x14ac:dyDescent="0.55000000000000004">
      <c r="B40" s="50"/>
      <c r="C40" s="45"/>
      <c r="D40" s="45"/>
      <c r="E40" s="45"/>
      <c r="F40" s="45"/>
      <c r="G40" s="45"/>
      <c r="H40" s="51"/>
      <c r="P40" s="50"/>
      <c r="Q40" s="45"/>
      <c r="R40" s="45"/>
      <c r="S40" s="45"/>
      <c r="T40" s="45"/>
      <c r="U40" s="45"/>
      <c r="V40" s="45"/>
      <c r="W40" s="50"/>
      <c r="X40" s="45"/>
      <c r="Y40" s="45"/>
      <c r="Z40" s="45"/>
      <c r="AA40" s="45"/>
      <c r="AB40" s="45"/>
      <c r="AC40" s="51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</row>
    <row r="41" spans="1:42" x14ac:dyDescent="0.55000000000000004">
      <c r="A41" s="1" t="s">
        <v>7</v>
      </c>
      <c r="B41" s="49">
        <f>SUM(B14:B39)</f>
        <v>32511</v>
      </c>
      <c r="C41" s="45">
        <f t="shared" ref="C41:F41" si="12">SUM(C14:C39)</f>
        <v>6542</v>
      </c>
      <c r="D41" s="45">
        <f t="shared" si="12"/>
        <v>30192</v>
      </c>
      <c r="E41" s="24">
        <f t="shared" si="12"/>
        <v>2319</v>
      </c>
      <c r="F41" s="24">
        <f t="shared" si="12"/>
        <v>25969</v>
      </c>
      <c r="G41" s="44">
        <f>SUM(G14:G39)</f>
        <v>4811</v>
      </c>
      <c r="H41" s="95">
        <f>IFERROR(G41/B41,0)</f>
        <v>0.14798068346098245</v>
      </c>
      <c r="I41" s="17">
        <f>SUM(I14:I39)</f>
        <v>9241</v>
      </c>
      <c r="J41">
        <f t="shared" ref="J41:M41" si="13">SUM(J14:J39)</f>
        <v>3271</v>
      </c>
      <c r="K41">
        <f t="shared" si="13"/>
        <v>8069</v>
      </c>
      <c r="L41" s="24">
        <f t="shared" si="13"/>
        <v>1172</v>
      </c>
      <c r="M41" s="24">
        <f t="shared" si="13"/>
        <v>5970</v>
      </c>
      <c r="N41" s="16">
        <f>SUM(N14:N39)</f>
        <v>1319</v>
      </c>
      <c r="O41" s="97">
        <f>IFERROR(N41/I41,0)</f>
        <v>0.14273347040363596</v>
      </c>
      <c r="P41" s="49">
        <f>SUM(P14:P39)</f>
        <v>40441</v>
      </c>
      <c r="Q41" s="45">
        <f t="shared" ref="Q41:T41" si="14">SUM(Q14:Q39)</f>
        <v>8250</v>
      </c>
      <c r="R41" s="45">
        <f t="shared" si="14"/>
        <v>38840</v>
      </c>
      <c r="S41" s="24">
        <f t="shared" si="14"/>
        <v>1601</v>
      </c>
      <c r="T41" s="24">
        <f t="shared" si="14"/>
        <v>32191</v>
      </c>
      <c r="U41" s="44">
        <f>SUM(U14:U39)</f>
        <v>7107</v>
      </c>
      <c r="V41" s="103">
        <f>IFERROR(U41/P41,0)</f>
        <v>0.1757374941272471</v>
      </c>
      <c r="W41" s="49">
        <f>SUM(W14:W39)</f>
        <v>5916</v>
      </c>
      <c r="X41" s="45">
        <f t="shared" ref="X41:AA41" si="15">SUM(X14:X39)</f>
        <v>751</v>
      </c>
      <c r="Y41" s="45">
        <f t="shared" si="15"/>
        <v>5605</v>
      </c>
      <c r="Z41" s="24">
        <f t="shared" si="15"/>
        <v>311</v>
      </c>
      <c r="AA41" s="24">
        <f t="shared" si="15"/>
        <v>5165</v>
      </c>
      <c r="AB41" s="44">
        <f>SUM(AB14:AB39)</f>
        <v>1030</v>
      </c>
      <c r="AC41" s="95">
        <f>IFERROR(AB41/W41,0)</f>
        <v>0.17410412440838405</v>
      </c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</row>
    <row r="42" spans="1:42" s="34" customFormat="1" x14ac:dyDescent="0.55000000000000004">
      <c r="A42" s="19" t="s">
        <v>17</v>
      </c>
      <c r="B42" s="53">
        <v>32511</v>
      </c>
      <c r="C42" s="46">
        <v>6542</v>
      </c>
      <c r="D42" s="46">
        <v>30191</v>
      </c>
      <c r="E42" s="86">
        <f>B42-D42</f>
        <v>2320</v>
      </c>
      <c r="F42" s="86">
        <f>B42-C42</f>
        <v>25969</v>
      </c>
      <c r="G42" s="46">
        <v>4811</v>
      </c>
      <c r="H42" s="87"/>
      <c r="I42" s="19">
        <v>9241</v>
      </c>
      <c r="J42" s="19">
        <v>3271</v>
      </c>
      <c r="K42" s="19">
        <v>8069</v>
      </c>
      <c r="L42" s="86">
        <f>I42-K42</f>
        <v>1172</v>
      </c>
      <c r="M42" s="86">
        <f>I42-J42</f>
        <v>5970</v>
      </c>
      <c r="N42" s="19">
        <v>1319</v>
      </c>
      <c r="O42" s="87"/>
      <c r="P42" s="53">
        <v>40441</v>
      </c>
      <c r="Q42" s="46">
        <v>8242</v>
      </c>
      <c r="R42" s="46">
        <v>38840</v>
      </c>
      <c r="S42" s="86">
        <f>P42-R42</f>
        <v>1601</v>
      </c>
      <c r="T42" s="86">
        <f>P42-Q42</f>
        <v>32199</v>
      </c>
      <c r="U42" s="46">
        <v>7107</v>
      </c>
      <c r="V42" s="87"/>
      <c r="W42" s="53">
        <v>5912</v>
      </c>
      <c r="X42" s="46">
        <v>749</v>
      </c>
      <c r="Y42" s="46">
        <v>5615</v>
      </c>
      <c r="Z42" s="86">
        <f>W42-Y42</f>
        <v>297</v>
      </c>
      <c r="AA42" s="86">
        <f>W42-X42</f>
        <v>5163</v>
      </c>
      <c r="AB42" s="46">
        <v>1030</v>
      </c>
      <c r="AC42" s="87"/>
    </row>
    <row r="43" spans="1:42" x14ac:dyDescent="0.55000000000000004">
      <c r="B43" s="50"/>
      <c r="C43" s="45"/>
      <c r="D43" s="45"/>
      <c r="E43" s="45"/>
      <c r="F43" s="45"/>
      <c r="G43" s="45"/>
      <c r="H43" s="51"/>
      <c r="P43" s="50"/>
      <c r="Q43" s="45"/>
      <c r="R43" s="45"/>
      <c r="S43" s="45"/>
      <c r="T43" s="45"/>
      <c r="U43" s="45"/>
      <c r="V43" s="45"/>
      <c r="W43" s="50"/>
      <c r="X43" s="45"/>
      <c r="Y43" s="45"/>
      <c r="Z43" s="45"/>
      <c r="AA43" s="45"/>
      <c r="AB43" s="45"/>
      <c r="AC43" s="51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</row>
    <row r="44" spans="1:42" x14ac:dyDescent="0.55000000000000004">
      <c r="B44" s="50"/>
      <c r="C44" s="45"/>
      <c r="D44" s="45"/>
      <c r="E44" s="45"/>
      <c r="F44" s="55"/>
      <c r="G44" s="55"/>
      <c r="H44" s="72"/>
      <c r="P44" s="50"/>
      <c r="Q44" s="45"/>
      <c r="R44" s="45"/>
      <c r="S44" s="45"/>
      <c r="T44" s="45"/>
      <c r="U44" s="45"/>
      <c r="V44" s="45"/>
      <c r="W44" s="50"/>
      <c r="X44" s="45"/>
      <c r="Y44" s="45"/>
      <c r="Z44" s="45"/>
      <c r="AA44" s="45"/>
      <c r="AB44" s="45"/>
      <c r="AC44" s="51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</row>
    <row r="45" spans="1:42" x14ac:dyDescent="0.55000000000000004">
      <c r="B45" s="50"/>
      <c r="C45" s="45"/>
      <c r="D45" s="45"/>
      <c r="E45" s="45"/>
      <c r="F45" s="55"/>
      <c r="G45" s="73"/>
      <c r="H45" s="74"/>
      <c r="N45" s="69"/>
      <c r="O45" s="69"/>
      <c r="P45" s="50"/>
      <c r="Q45" s="45"/>
      <c r="R45" s="45"/>
      <c r="S45" s="45"/>
      <c r="T45" s="45"/>
      <c r="U45" s="73"/>
      <c r="V45" s="73"/>
      <c r="W45" s="50"/>
      <c r="X45" s="45"/>
      <c r="Y45" s="45"/>
      <c r="Z45" s="45"/>
      <c r="AA45" s="45"/>
      <c r="AB45" s="73"/>
      <c r="AC45" s="74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</row>
    <row r="46" spans="1:42" x14ac:dyDescent="0.55000000000000004">
      <c r="A46" s="1"/>
      <c r="B46" s="75"/>
      <c r="C46" s="62"/>
      <c r="D46" s="62"/>
      <c r="E46" s="62"/>
      <c r="F46" s="65"/>
      <c r="G46" s="55"/>
      <c r="H46" s="57"/>
      <c r="N46" s="32"/>
      <c r="O46" s="70"/>
      <c r="P46" s="50"/>
      <c r="Q46" s="45"/>
      <c r="R46" s="45"/>
      <c r="S46" s="45"/>
      <c r="T46" s="45"/>
      <c r="U46" s="77"/>
      <c r="V46" s="79"/>
      <c r="W46" s="50"/>
      <c r="X46" s="45"/>
      <c r="Y46" s="45"/>
      <c r="Z46" s="45"/>
      <c r="AA46" s="45"/>
      <c r="AB46" s="73"/>
      <c r="AC46" s="74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</row>
    <row r="47" spans="1:42" x14ac:dyDescent="0.55000000000000004">
      <c r="B47" s="63"/>
      <c r="C47" s="62"/>
      <c r="D47" s="62"/>
      <c r="E47" s="62"/>
      <c r="F47" s="65"/>
      <c r="G47" s="55"/>
      <c r="H47" s="57"/>
      <c r="P47" s="50"/>
      <c r="Q47" s="45"/>
      <c r="R47" s="45"/>
      <c r="S47" s="45"/>
      <c r="T47" s="45"/>
      <c r="U47" s="45"/>
      <c r="V47" s="45"/>
      <c r="W47" s="50"/>
      <c r="X47" s="45"/>
      <c r="Y47" s="45"/>
      <c r="Z47" s="45"/>
      <c r="AA47" s="45"/>
      <c r="AB47" s="45"/>
      <c r="AC47" s="51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</row>
    <row r="48" spans="1:42" x14ac:dyDescent="0.55000000000000004">
      <c r="B48" s="64"/>
      <c r="C48" s="55"/>
      <c r="D48" s="55"/>
      <c r="E48" s="55"/>
      <c r="F48" s="55"/>
      <c r="G48" s="45"/>
      <c r="H48" s="51"/>
      <c r="P48" s="50"/>
      <c r="Q48" s="45"/>
      <c r="R48" s="45"/>
      <c r="S48" s="45"/>
      <c r="T48" s="45"/>
      <c r="U48" s="45"/>
      <c r="V48" s="45"/>
      <c r="W48" s="50"/>
      <c r="X48" s="45"/>
      <c r="Y48" s="45"/>
      <c r="Z48" s="45"/>
      <c r="AA48" s="45"/>
      <c r="AB48" s="45"/>
      <c r="AC48" s="51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</row>
    <row r="49" spans="1:42" x14ac:dyDescent="0.55000000000000004">
      <c r="A49" s="30" t="s">
        <v>8</v>
      </c>
      <c r="B49" s="64">
        <v>28877</v>
      </c>
      <c r="C49" s="65">
        <v>5577</v>
      </c>
      <c r="D49" s="65">
        <v>26866</v>
      </c>
      <c r="E49" s="85"/>
      <c r="F49" s="85"/>
      <c r="G49" s="56">
        <v>3864</v>
      </c>
      <c r="H49" s="106">
        <f>G49/G41</f>
        <v>0.8031594263146955</v>
      </c>
      <c r="I49" s="91">
        <v>8126</v>
      </c>
      <c r="J49" s="92">
        <v>2803</v>
      </c>
      <c r="K49" s="92">
        <v>7020</v>
      </c>
      <c r="L49" s="85"/>
      <c r="M49" s="85"/>
      <c r="N49" s="25">
        <v>1119</v>
      </c>
      <c r="O49" s="111">
        <f>N49/N41</f>
        <v>0.84836997725549657</v>
      </c>
      <c r="P49" s="50">
        <f>17355+1361</f>
        <v>18716</v>
      </c>
      <c r="Q49" s="55">
        <f>2874+516</f>
        <v>3390</v>
      </c>
      <c r="R49" s="55">
        <f>16836+1185</f>
        <v>18021</v>
      </c>
      <c r="S49" s="85"/>
      <c r="T49" s="85"/>
      <c r="U49" s="56">
        <f>3281+434</f>
        <v>3715</v>
      </c>
      <c r="V49" s="115">
        <f>U49/U41</f>
        <v>0.52272407485577599</v>
      </c>
      <c r="W49" s="50">
        <v>7</v>
      </c>
      <c r="Y49" s="55">
        <v>7</v>
      </c>
      <c r="Z49" s="85"/>
      <c r="AA49" s="85"/>
      <c r="AB49" s="56"/>
      <c r="AC49" s="106">
        <f>AB49/AB41</f>
        <v>0</v>
      </c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</row>
    <row r="50" spans="1:42" x14ac:dyDescent="0.55000000000000004">
      <c r="A50" s="30" t="s">
        <v>4</v>
      </c>
      <c r="B50" s="64">
        <v>2454</v>
      </c>
      <c r="C50" s="65">
        <v>523</v>
      </c>
      <c r="D50" s="65">
        <v>2228</v>
      </c>
      <c r="E50" s="85"/>
      <c r="F50" s="85"/>
      <c r="G50" s="56">
        <v>822</v>
      </c>
      <c r="H50" s="107">
        <f>G50/G41</f>
        <v>0.17085844938682188</v>
      </c>
      <c r="I50" s="93">
        <v>431</v>
      </c>
      <c r="J50" s="92">
        <v>196</v>
      </c>
      <c r="K50" s="92">
        <v>395</v>
      </c>
      <c r="L50" s="85"/>
      <c r="M50" s="85"/>
      <c r="N50" s="25">
        <v>162</v>
      </c>
      <c r="O50" s="112">
        <f>N50/N41</f>
        <v>0.12282031842304776</v>
      </c>
      <c r="P50" s="89">
        <v>9130</v>
      </c>
      <c r="Q50" s="90">
        <v>1730</v>
      </c>
      <c r="R50" s="90">
        <v>8808</v>
      </c>
      <c r="S50" s="85"/>
      <c r="T50" s="85"/>
      <c r="U50" s="56">
        <v>1687</v>
      </c>
      <c r="V50" s="116">
        <f>U50/U41</f>
        <v>0.23737160545940622</v>
      </c>
      <c r="W50" s="89">
        <f>173+4793</f>
        <v>4966</v>
      </c>
      <c r="X50" s="55">
        <f>27+580</f>
        <v>607</v>
      </c>
      <c r="Y50" s="90">
        <f>161+4555</f>
        <v>4716</v>
      </c>
      <c r="Z50" s="85"/>
      <c r="AA50" s="85"/>
      <c r="AB50" s="56">
        <f>33+878</f>
        <v>911</v>
      </c>
      <c r="AC50" s="107">
        <f>AB50/AB41</f>
        <v>0.88446601941747571</v>
      </c>
      <c r="AD50" s="12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</row>
    <row r="51" spans="1:42" x14ac:dyDescent="0.55000000000000004">
      <c r="A51" s="30" t="s">
        <v>9</v>
      </c>
      <c r="B51" s="64">
        <v>521</v>
      </c>
      <c r="C51" s="65">
        <v>167</v>
      </c>
      <c r="D51" s="65">
        <v>493</v>
      </c>
      <c r="E51" s="85"/>
      <c r="F51" s="85"/>
      <c r="G51" s="56">
        <v>51</v>
      </c>
      <c r="H51" s="108">
        <f>G51/G41</f>
        <v>1.0600706713780919E-2</v>
      </c>
      <c r="I51" s="92">
        <v>459</v>
      </c>
      <c r="J51" s="92">
        <v>176</v>
      </c>
      <c r="K51" s="92">
        <v>436</v>
      </c>
      <c r="L51" s="85"/>
      <c r="M51" s="85"/>
      <c r="N51" s="26">
        <v>11</v>
      </c>
      <c r="O51" s="113">
        <f>N51/N41</f>
        <v>8.339651250947688E-3</v>
      </c>
      <c r="P51" s="89"/>
      <c r="Q51" s="90"/>
      <c r="R51" s="90"/>
      <c r="S51" s="85"/>
      <c r="T51" s="85"/>
      <c r="U51" s="56"/>
      <c r="V51" s="117">
        <f>U51/U41</f>
        <v>0</v>
      </c>
      <c r="W51" s="50"/>
      <c r="X51" s="55"/>
      <c r="Y51" s="55"/>
      <c r="Z51" s="85"/>
      <c r="AA51" s="85"/>
      <c r="AB51" s="56"/>
      <c r="AC51" s="108">
        <f>AB51/AB41</f>
        <v>0</v>
      </c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</row>
    <row r="52" spans="1:42" x14ac:dyDescent="0.55000000000000004">
      <c r="A52" s="27" t="s">
        <v>18</v>
      </c>
      <c r="B52" s="66">
        <f>443+105+86+25</f>
        <v>659</v>
      </c>
      <c r="C52" s="67">
        <f>240+30+5</f>
        <v>275</v>
      </c>
      <c r="D52" s="67">
        <f>403+91+86+24</f>
        <v>604</v>
      </c>
      <c r="E52" s="85"/>
      <c r="F52" s="85"/>
      <c r="G52" s="59">
        <f>44+28+2</f>
        <v>74</v>
      </c>
      <c r="H52" s="109">
        <f>1-SUM(H49:H51)</f>
        <v>1.5381417584701684E-2</v>
      </c>
      <c r="I52" s="28">
        <f>364+11+2</f>
        <v>377</v>
      </c>
      <c r="J52" s="28">
        <f>58+35+8</f>
        <v>101</v>
      </c>
      <c r="K52" s="28">
        <f>359+9+2</f>
        <v>370</v>
      </c>
      <c r="L52" s="85"/>
      <c r="M52" s="85"/>
      <c r="N52" s="29">
        <f>42+4</f>
        <v>46</v>
      </c>
      <c r="O52" s="114">
        <f>1-SUM(O49:O51)</f>
        <v>2.0470053070507976E-2</v>
      </c>
      <c r="P52" s="58">
        <v>12595</v>
      </c>
      <c r="Q52" s="59">
        <v>3122</v>
      </c>
      <c r="R52" s="59">
        <v>12011</v>
      </c>
      <c r="S52" s="85"/>
      <c r="T52" s="85"/>
      <c r="U52" s="59">
        <v>1705</v>
      </c>
      <c r="V52" s="118">
        <f>1-SUM(V49:V51)</f>
        <v>0.23990431968481785</v>
      </c>
      <c r="W52" s="58">
        <f>384+6+2+2+14+117+3+12+24+32+3+1+336</f>
        <v>936</v>
      </c>
      <c r="X52" s="59">
        <f>4+32+3+2+2+32</f>
        <v>75</v>
      </c>
      <c r="Y52" s="59">
        <f>6+2+2+14+104+3+12+24+32+3+1+329</f>
        <v>532</v>
      </c>
      <c r="Z52" s="85"/>
      <c r="AA52" s="85"/>
      <c r="AB52" s="59">
        <f>1+1+1+14+10+18+1+16</f>
        <v>62</v>
      </c>
      <c r="AC52" s="109">
        <f>1-SUM(AC49:AC51)</f>
        <v>0.11553398058252429</v>
      </c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</row>
    <row r="53" spans="1:42" x14ac:dyDescent="0.55000000000000004">
      <c r="A53" s="1" t="s">
        <v>7</v>
      </c>
      <c r="B53" s="64">
        <f>SUM(B49:B52)</f>
        <v>32511</v>
      </c>
      <c r="C53" s="77">
        <f>SUM(C49:C52)</f>
        <v>6542</v>
      </c>
      <c r="D53" s="77">
        <f t="shared" ref="D53:G53" si="16">SUM(D49:D52)</f>
        <v>30191</v>
      </c>
      <c r="E53" s="85"/>
      <c r="F53" s="85"/>
      <c r="G53" s="77">
        <f t="shared" si="16"/>
        <v>4811</v>
      </c>
      <c r="H53" s="110">
        <f>SUM(H49:H52)</f>
        <v>1</v>
      </c>
      <c r="I53" s="32">
        <f>SUM(I49:I52)</f>
        <v>9393</v>
      </c>
      <c r="J53" s="32">
        <f>SUM(J49:J52)</f>
        <v>3276</v>
      </c>
      <c r="K53" s="32">
        <f t="shared" ref="K53:N53" si="17">SUM(K49:K52)</f>
        <v>8221</v>
      </c>
      <c r="L53" s="85"/>
      <c r="M53" s="85"/>
      <c r="N53" s="32">
        <f t="shared" si="17"/>
        <v>1338</v>
      </c>
      <c r="O53" s="99">
        <f>SUM(O49:O52)</f>
        <v>1</v>
      </c>
      <c r="P53" s="64">
        <f>SUM(P49:P52)</f>
        <v>40441</v>
      </c>
      <c r="Q53" s="77">
        <f>SUM(Q49:Q52)</f>
        <v>8242</v>
      </c>
      <c r="R53" s="77">
        <f t="shared" ref="R53:U53" si="18">SUM(R49:R52)</f>
        <v>38840</v>
      </c>
      <c r="S53" s="85"/>
      <c r="T53" s="85"/>
      <c r="U53" s="77">
        <f t="shared" si="18"/>
        <v>7107</v>
      </c>
      <c r="V53" s="104">
        <f>SUM(V49:V52)</f>
        <v>1</v>
      </c>
      <c r="W53" s="64">
        <f>SUM(W49:W52)</f>
        <v>5909</v>
      </c>
      <c r="X53" s="77">
        <f>SUM(X49:X52)</f>
        <v>682</v>
      </c>
      <c r="Y53" s="77">
        <f t="shared" ref="Y53" si="19">SUM(Y49:Y52)</f>
        <v>5255</v>
      </c>
      <c r="Z53" s="85"/>
      <c r="AA53" s="85"/>
      <c r="AB53" s="77">
        <f>SUM(AB49:AB52)</f>
        <v>973</v>
      </c>
      <c r="AC53" s="96">
        <f>SUM(AC49:AC52)</f>
        <v>1</v>
      </c>
      <c r="AD53" s="34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</row>
    <row r="54" spans="1:42" x14ac:dyDescent="0.55000000000000004">
      <c r="A54" s="19" t="s">
        <v>17</v>
      </c>
      <c r="B54" s="53">
        <f>B42</f>
        <v>32511</v>
      </c>
      <c r="C54" s="46">
        <f t="shared" ref="C54:G54" si="20">C42</f>
        <v>6542</v>
      </c>
      <c r="D54" s="46">
        <f t="shared" si="20"/>
        <v>30191</v>
      </c>
      <c r="E54" s="85"/>
      <c r="F54" s="85"/>
      <c r="G54" s="46">
        <f t="shared" si="20"/>
        <v>4811</v>
      </c>
      <c r="H54" s="68">
        <v>1</v>
      </c>
      <c r="I54" s="19">
        <f>I42</f>
        <v>9241</v>
      </c>
      <c r="J54" s="19">
        <f t="shared" ref="J54:N54" si="21">J42</f>
        <v>3271</v>
      </c>
      <c r="K54" s="19">
        <f t="shared" si="21"/>
        <v>8069</v>
      </c>
      <c r="L54" s="85"/>
      <c r="M54" s="85"/>
      <c r="N54" s="19">
        <f t="shared" si="21"/>
        <v>1319</v>
      </c>
      <c r="O54" s="31">
        <v>1</v>
      </c>
      <c r="P54" s="53">
        <f>P42</f>
        <v>40441</v>
      </c>
      <c r="Q54" s="46">
        <f t="shared" ref="Q54:U54" si="22">Q42</f>
        <v>8242</v>
      </c>
      <c r="R54" s="46">
        <f t="shared" si="22"/>
        <v>38840</v>
      </c>
      <c r="S54" s="85"/>
      <c r="T54" s="85"/>
      <c r="U54" s="46">
        <f t="shared" si="22"/>
        <v>7107</v>
      </c>
      <c r="V54" s="80">
        <v>1</v>
      </c>
      <c r="W54" s="53">
        <f>W42</f>
        <v>5912</v>
      </c>
      <c r="X54" s="46">
        <f t="shared" ref="X54:AB54" si="23">X42</f>
        <v>749</v>
      </c>
      <c r="Y54" s="46">
        <f t="shared" si="23"/>
        <v>5615</v>
      </c>
      <c r="Z54" s="85"/>
      <c r="AA54" s="85"/>
      <c r="AB54" s="46">
        <f t="shared" si="23"/>
        <v>1030</v>
      </c>
      <c r="AC54" s="60">
        <v>1</v>
      </c>
      <c r="AD54" s="34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</row>
    <row r="55" spans="1:42" x14ac:dyDescent="0.55000000000000004">
      <c r="B55" s="7"/>
      <c r="C55" s="7"/>
      <c r="D55" s="7"/>
      <c r="E55" s="7"/>
      <c r="F55" s="7"/>
      <c r="G55" s="8"/>
      <c r="H55" s="9"/>
      <c r="I55" s="8"/>
      <c r="J55" s="8"/>
      <c r="K55" s="8"/>
      <c r="L55" s="8"/>
      <c r="M55" s="8"/>
      <c r="N55" s="8"/>
      <c r="O55" s="9"/>
      <c r="P55" s="8"/>
      <c r="Q55" s="8"/>
      <c r="R55" s="8"/>
      <c r="S55" s="8"/>
      <c r="T55" s="8"/>
      <c r="U55" s="8"/>
      <c r="V55" s="9"/>
      <c r="X55" s="8"/>
      <c r="Y55" s="8"/>
      <c r="Z55" s="8"/>
      <c r="AA55" s="8"/>
      <c r="AB55" s="8"/>
      <c r="AD55" s="11"/>
    </row>
    <row r="56" spans="1:42" x14ac:dyDescent="0.55000000000000004">
      <c r="AD56" s="11"/>
    </row>
  </sheetData>
  <mergeCells count="6">
    <mergeCell ref="A10:AC10"/>
    <mergeCell ref="W13:AC13"/>
    <mergeCell ref="A11:AC11"/>
    <mergeCell ref="B13:H13"/>
    <mergeCell ref="I13:O13"/>
    <mergeCell ref="P13:V13"/>
  </mergeCells>
  <pageMargins left="0.7" right="0.7" top="0.78740157499999996" bottom="0.78740157499999996" header="0.3" footer="0.3"/>
  <pageSetup paperSize="9" orientation="portrait" r:id="rId1"/>
  <ignoredErrors>
    <ignoredError sqref="H41 O41 V41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F2399-37EB-4B60-8195-22CCC845CFCB}">
  <dimension ref="A1:BV58"/>
  <sheetViews>
    <sheetView workbookViewId="0">
      <pane xSplit="1" topLeftCell="B1" activePane="topRight" state="frozen"/>
      <selection activeCell="A28" sqref="A28"/>
      <selection pane="topRight"/>
    </sheetView>
  </sheetViews>
  <sheetFormatPr baseColWidth="10" defaultRowHeight="14.4" x14ac:dyDescent="0.55000000000000004"/>
  <cols>
    <col min="5" max="5" width="14.7890625" bestFit="1" customWidth="1"/>
    <col min="12" max="12" width="14.7890625" bestFit="1" customWidth="1"/>
    <col min="19" max="19" width="14.7890625" bestFit="1" customWidth="1"/>
    <col min="26" max="26" width="14.7890625" bestFit="1" customWidth="1"/>
  </cols>
  <sheetData>
    <row r="1" spans="1:29" x14ac:dyDescent="0.55000000000000004">
      <c r="A1" s="3" t="s">
        <v>11</v>
      </c>
    </row>
    <row r="2" spans="1:29" x14ac:dyDescent="0.55000000000000004">
      <c r="G2" s="1"/>
    </row>
    <row r="3" spans="1:29" x14ac:dyDescent="0.55000000000000004">
      <c r="A3" s="1"/>
      <c r="C3" s="1"/>
      <c r="D3" s="1"/>
      <c r="E3" s="1"/>
      <c r="F3" s="1"/>
      <c r="G3" s="2"/>
      <c r="H3" s="22"/>
      <c r="M3" s="2"/>
      <c r="O3" s="2"/>
    </row>
    <row r="4" spans="1:29" x14ac:dyDescent="0.55000000000000004">
      <c r="B4" s="1"/>
      <c r="C4" s="1"/>
      <c r="D4" s="1"/>
      <c r="E4" s="1"/>
      <c r="F4" s="1"/>
      <c r="N4" s="2"/>
      <c r="O4" s="2"/>
    </row>
    <row r="7" spans="1:29" x14ac:dyDescent="0.55000000000000004">
      <c r="B7" s="1"/>
      <c r="C7" s="1"/>
      <c r="D7" s="1"/>
      <c r="E7" s="1"/>
      <c r="F7" s="1"/>
      <c r="H7" s="2"/>
      <c r="I7" s="2"/>
      <c r="J7" s="2"/>
      <c r="K7" s="2"/>
      <c r="L7" s="2"/>
      <c r="M7" s="2"/>
    </row>
    <row r="8" spans="1:29" x14ac:dyDescent="0.55000000000000004">
      <c r="B8" s="1"/>
      <c r="C8" s="1"/>
      <c r="D8" s="1"/>
      <c r="E8" s="1"/>
      <c r="F8" s="1"/>
      <c r="H8" s="2"/>
      <c r="I8" s="2"/>
      <c r="J8" s="2"/>
      <c r="K8" s="2"/>
      <c r="L8" s="2"/>
      <c r="M8" s="2"/>
    </row>
    <row r="10" spans="1:29" x14ac:dyDescent="0.55000000000000004">
      <c r="A10" s="123" t="s">
        <v>19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  <c r="AB10" s="123"/>
      <c r="AC10" s="123"/>
    </row>
    <row r="11" spans="1:29" x14ac:dyDescent="0.55000000000000004">
      <c r="A11" s="127" t="s">
        <v>5</v>
      </c>
      <c r="B11" s="127"/>
      <c r="C11" s="127"/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  <c r="AA11" s="127"/>
      <c r="AB11" s="127"/>
      <c r="AC11" s="127"/>
    </row>
    <row r="12" spans="1:29" x14ac:dyDescent="0.55000000000000004">
      <c r="B12" s="47" t="s">
        <v>13</v>
      </c>
      <c r="C12" s="36" t="s">
        <v>14</v>
      </c>
      <c r="D12" s="36" t="s">
        <v>16</v>
      </c>
      <c r="E12" s="37" t="s">
        <v>21</v>
      </c>
      <c r="F12" s="37" t="s">
        <v>15</v>
      </c>
      <c r="G12" s="38" t="s">
        <v>2</v>
      </c>
      <c r="H12" s="100" t="s">
        <v>6</v>
      </c>
      <c r="I12" s="47" t="s">
        <v>13</v>
      </c>
      <c r="J12" s="36" t="s">
        <v>14</v>
      </c>
      <c r="K12" s="36" t="s">
        <v>16</v>
      </c>
      <c r="L12" s="37" t="s">
        <v>21</v>
      </c>
      <c r="M12" s="37" t="s">
        <v>15</v>
      </c>
      <c r="N12" s="38" t="s">
        <v>2</v>
      </c>
      <c r="O12" s="100" t="s">
        <v>6</v>
      </c>
      <c r="P12" s="14" t="s">
        <v>13</v>
      </c>
      <c r="Q12" s="18" t="s">
        <v>14</v>
      </c>
      <c r="R12" s="18" t="s">
        <v>16</v>
      </c>
      <c r="S12" s="35" t="s">
        <v>21</v>
      </c>
      <c r="T12" s="35" t="s">
        <v>15</v>
      </c>
      <c r="U12" s="15" t="s">
        <v>2</v>
      </c>
      <c r="V12" s="105" t="s">
        <v>6</v>
      </c>
      <c r="W12" s="47" t="s">
        <v>13</v>
      </c>
      <c r="X12" s="36" t="s">
        <v>14</v>
      </c>
      <c r="Y12" s="36" t="s">
        <v>16</v>
      </c>
      <c r="Z12" s="37" t="s">
        <v>21</v>
      </c>
      <c r="AA12" s="37" t="s">
        <v>15</v>
      </c>
      <c r="AB12" s="38" t="s">
        <v>2</v>
      </c>
      <c r="AC12" s="100" t="s">
        <v>6</v>
      </c>
    </row>
    <row r="13" spans="1:29" x14ac:dyDescent="0.55000000000000004">
      <c r="A13" s="1" t="s">
        <v>3</v>
      </c>
      <c r="B13" s="124" t="s">
        <v>0</v>
      </c>
      <c r="C13" s="125"/>
      <c r="D13" s="125"/>
      <c r="E13" s="125"/>
      <c r="F13" s="125"/>
      <c r="G13" s="125"/>
      <c r="H13" s="126"/>
      <c r="I13" s="124" t="s">
        <v>1</v>
      </c>
      <c r="J13" s="125"/>
      <c r="K13" s="125"/>
      <c r="L13" s="125"/>
      <c r="M13" s="125"/>
      <c r="N13" s="125"/>
      <c r="O13" s="126"/>
      <c r="P13" s="128" t="s">
        <v>10</v>
      </c>
      <c r="Q13" s="128"/>
      <c r="R13" s="128"/>
      <c r="S13" s="128"/>
      <c r="T13" s="128"/>
      <c r="U13" s="128"/>
      <c r="V13" s="128"/>
      <c r="W13" s="124" t="s">
        <v>12</v>
      </c>
      <c r="X13" s="125"/>
      <c r="Y13" s="125"/>
      <c r="Z13" s="125"/>
      <c r="AA13" s="125"/>
      <c r="AB13" s="125"/>
      <c r="AC13" s="126"/>
    </row>
    <row r="14" spans="1:29" x14ac:dyDescent="0.55000000000000004">
      <c r="A14" s="5">
        <v>1997</v>
      </c>
      <c r="B14" s="48">
        <v>0</v>
      </c>
      <c r="C14" s="39">
        <v>0</v>
      </c>
      <c r="D14" s="39">
        <v>0</v>
      </c>
      <c r="E14" s="40">
        <f>$B14-$D14</f>
        <v>0</v>
      </c>
      <c r="F14" s="40">
        <f>$B14-$C14</f>
        <v>0</v>
      </c>
      <c r="G14" s="41">
        <v>2</v>
      </c>
      <c r="H14" s="94">
        <f>IFERROR($G14/$B14,0)</f>
        <v>0</v>
      </c>
      <c r="I14" s="48">
        <v>1</v>
      </c>
      <c r="J14" s="39">
        <v>0</v>
      </c>
      <c r="K14" s="39">
        <v>1</v>
      </c>
      <c r="L14" s="40">
        <f>$I14-$K14</f>
        <v>0</v>
      </c>
      <c r="M14" s="40">
        <f>$I14-$J14</f>
        <v>1</v>
      </c>
      <c r="N14" s="41">
        <v>0</v>
      </c>
      <c r="O14" s="94">
        <f>IFERROR($N14/$I14,0)</f>
        <v>0</v>
      </c>
      <c r="P14" s="6"/>
      <c r="Q14" s="20"/>
      <c r="R14" s="20"/>
      <c r="S14" s="23">
        <f>$P14-$R14</f>
        <v>0</v>
      </c>
      <c r="T14" s="23">
        <f>$P14-$Q14</f>
        <v>0</v>
      </c>
      <c r="U14" s="6"/>
      <c r="V14" s="98">
        <f>IFERROR($U14/$P14,0)</f>
        <v>0</v>
      </c>
      <c r="W14" s="48">
        <v>0</v>
      </c>
      <c r="X14" s="39">
        <v>0</v>
      </c>
      <c r="Y14" s="39">
        <v>0</v>
      </c>
      <c r="Z14" s="40">
        <f>$W14-$Y14</f>
        <v>0</v>
      </c>
      <c r="AA14" s="40">
        <f>$W14-$X14</f>
        <v>0</v>
      </c>
      <c r="AB14" s="41">
        <v>2</v>
      </c>
      <c r="AC14" s="94">
        <f>IFERROR($AB14/$W14,0)</f>
        <v>0</v>
      </c>
    </row>
    <row r="15" spans="1:29" x14ac:dyDescent="0.55000000000000004">
      <c r="A15" s="1">
        <v>1998</v>
      </c>
      <c r="B15" s="49">
        <v>2</v>
      </c>
      <c r="C15" s="42">
        <v>0</v>
      </c>
      <c r="D15" s="42">
        <v>2</v>
      </c>
      <c r="E15" s="43">
        <f t="shared" ref="E15:E39" si="0">$B15-$D15</f>
        <v>0</v>
      </c>
      <c r="F15" s="43">
        <f t="shared" ref="F15:F39" si="1">$B15-$C15</f>
        <v>2</v>
      </c>
      <c r="G15" s="44">
        <v>2</v>
      </c>
      <c r="H15" s="95">
        <f t="shared" ref="H15:H16" si="2">IFERROR($G15/$B15,0)</f>
        <v>1</v>
      </c>
      <c r="I15" s="49">
        <v>0</v>
      </c>
      <c r="J15" s="42">
        <v>0</v>
      </c>
      <c r="K15" s="42">
        <v>0</v>
      </c>
      <c r="L15" s="43">
        <f t="shared" ref="L15:L39" si="3">$I15-$K15</f>
        <v>0</v>
      </c>
      <c r="M15" s="43">
        <f t="shared" ref="M15:M39" si="4">$I15-$J15</f>
        <v>0</v>
      </c>
      <c r="N15" s="44">
        <v>2</v>
      </c>
      <c r="O15" s="95">
        <f t="shared" ref="O15:O39" si="5">IFERROR($N15/$I15,0)</f>
        <v>0</v>
      </c>
      <c r="P15" s="17"/>
      <c r="Q15" s="4"/>
      <c r="R15" s="4"/>
      <c r="S15" s="24">
        <f t="shared" ref="S15:S39" si="6">$P15-$R15</f>
        <v>0</v>
      </c>
      <c r="T15" s="24">
        <f t="shared" ref="T15:T39" si="7">$P15-$Q15</f>
        <v>0</v>
      </c>
      <c r="U15" s="16"/>
      <c r="V15" s="97">
        <f t="shared" ref="V15:V39" si="8">IFERROR($U15/$P15,0)</f>
        <v>0</v>
      </c>
      <c r="W15" s="49">
        <v>0</v>
      </c>
      <c r="X15" s="42">
        <v>0</v>
      </c>
      <c r="Y15" s="42">
        <v>0</v>
      </c>
      <c r="Z15" s="43">
        <f t="shared" ref="Z15:Z39" si="9">$W15-$Y15</f>
        <v>0</v>
      </c>
      <c r="AA15" s="43">
        <f t="shared" ref="AA15:AA39" si="10">$W15-$X15</f>
        <v>0</v>
      </c>
      <c r="AB15" s="44">
        <v>1</v>
      </c>
      <c r="AC15" s="95">
        <f t="shared" ref="AC15:AC39" si="11">IFERROR($AB15/$W15,0)</f>
        <v>0</v>
      </c>
    </row>
    <row r="16" spans="1:29" x14ac:dyDescent="0.55000000000000004">
      <c r="A16" s="5">
        <v>1999</v>
      </c>
      <c r="B16" s="48">
        <v>1</v>
      </c>
      <c r="C16" s="39">
        <v>0</v>
      </c>
      <c r="D16" s="39">
        <v>1</v>
      </c>
      <c r="E16" s="40">
        <f t="shared" si="0"/>
        <v>0</v>
      </c>
      <c r="F16" s="40">
        <f t="shared" si="1"/>
        <v>1</v>
      </c>
      <c r="G16" s="41">
        <v>2</v>
      </c>
      <c r="H16" s="94">
        <f t="shared" si="2"/>
        <v>2</v>
      </c>
      <c r="I16" s="48">
        <v>0</v>
      </c>
      <c r="J16" s="39">
        <v>0</v>
      </c>
      <c r="K16" s="39">
        <v>0</v>
      </c>
      <c r="L16" s="40">
        <f t="shared" si="3"/>
        <v>0</v>
      </c>
      <c r="M16" s="40">
        <f t="shared" si="4"/>
        <v>0</v>
      </c>
      <c r="N16" s="41">
        <v>1</v>
      </c>
      <c r="O16" s="94">
        <f t="shared" si="5"/>
        <v>0</v>
      </c>
      <c r="P16" s="6"/>
      <c r="Q16" s="20"/>
      <c r="R16" s="20"/>
      <c r="S16" s="23">
        <f t="shared" si="6"/>
        <v>0</v>
      </c>
      <c r="T16" s="23">
        <f t="shared" si="7"/>
        <v>0</v>
      </c>
      <c r="U16" s="6"/>
      <c r="V16" s="98">
        <f t="shared" si="8"/>
        <v>0</v>
      </c>
      <c r="W16" s="48">
        <v>1</v>
      </c>
      <c r="X16" s="39">
        <v>0</v>
      </c>
      <c r="Y16" s="39">
        <v>1</v>
      </c>
      <c r="Z16" s="40">
        <f t="shared" si="9"/>
        <v>0</v>
      </c>
      <c r="AA16" s="40">
        <f t="shared" si="10"/>
        <v>1</v>
      </c>
      <c r="AB16" s="41">
        <v>1</v>
      </c>
      <c r="AC16" s="94">
        <f t="shared" si="11"/>
        <v>1</v>
      </c>
    </row>
    <row r="17" spans="1:29" x14ac:dyDescent="0.55000000000000004">
      <c r="A17" s="1">
        <v>2000</v>
      </c>
      <c r="B17" s="49">
        <v>8</v>
      </c>
      <c r="C17" s="42">
        <v>0</v>
      </c>
      <c r="D17" s="42">
        <v>8</v>
      </c>
      <c r="E17" s="43">
        <f t="shared" si="0"/>
        <v>0</v>
      </c>
      <c r="F17" s="43">
        <f t="shared" si="1"/>
        <v>8</v>
      </c>
      <c r="G17" s="44">
        <v>5</v>
      </c>
      <c r="H17" s="95">
        <f>IFERROR($G17/$B17,0)</f>
        <v>0.625</v>
      </c>
      <c r="I17" s="49">
        <v>0</v>
      </c>
      <c r="J17" s="42">
        <v>0</v>
      </c>
      <c r="K17" s="42">
        <v>0</v>
      </c>
      <c r="L17" s="43">
        <f t="shared" si="3"/>
        <v>0</v>
      </c>
      <c r="M17" s="43">
        <f t="shared" si="4"/>
        <v>0</v>
      </c>
      <c r="N17" s="44">
        <v>0</v>
      </c>
      <c r="O17" s="95">
        <f t="shared" si="5"/>
        <v>0</v>
      </c>
      <c r="P17" s="17"/>
      <c r="Q17" s="4"/>
      <c r="R17" s="4"/>
      <c r="S17" s="24">
        <f t="shared" si="6"/>
        <v>0</v>
      </c>
      <c r="T17" s="24">
        <f t="shared" si="7"/>
        <v>0</v>
      </c>
      <c r="U17" s="16"/>
      <c r="V17" s="97">
        <f t="shared" si="8"/>
        <v>0</v>
      </c>
      <c r="W17" s="49">
        <v>3</v>
      </c>
      <c r="X17" s="42">
        <v>0</v>
      </c>
      <c r="Y17" s="42">
        <v>3</v>
      </c>
      <c r="Z17" s="43">
        <f t="shared" si="9"/>
        <v>0</v>
      </c>
      <c r="AA17" s="43">
        <f t="shared" si="10"/>
        <v>3</v>
      </c>
      <c r="AB17" s="44">
        <v>1</v>
      </c>
      <c r="AC17" s="95">
        <f t="shared" si="11"/>
        <v>0.33333333333333331</v>
      </c>
    </row>
    <row r="18" spans="1:29" x14ac:dyDescent="0.55000000000000004">
      <c r="A18" s="5">
        <v>2001</v>
      </c>
      <c r="B18" s="48">
        <v>26</v>
      </c>
      <c r="C18" s="39">
        <v>0</v>
      </c>
      <c r="D18" s="39">
        <v>26</v>
      </c>
      <c r="E18" s="40">
        <f t="shared" si="0"/>
        <v>0</v>
      </c>
      <c r="F18" s="40">
        <f t="shared" si="1"/>
        <v>26</v>
      </c>
      <c r="G18" s="41">
        <v>7</v>
      </c>
      <c r="H18" s="94">
        <f t="shared" ref="H18:H39" si="12">IFERROR($G18/$B18,0)</f>
        <v>0.26923076923076922</v>
      </c>
      <c r="I18" s="48">
        <v>4</v>
      </c>
      <c r="J18" s="39">
        <v>0</v>
      </c>
      <c r="K18" s="39">
        <v>4</v>
      </c>
      <c r="L18" s="40">
        <f t="shared" si="3"/>
        <v>0</v>
      </c>
      <c r="M18" s="40">
        <f t="shared" si="4"/>
        <v>4</v>
      </c>
      <c r="N18" s="41">
        <v>0</v>
      </c>
      <c r="O18" s="94">
        <f t="shared" si="5"/>
        <v>0</v>
      </c>
      <c r="P18" s="6"/>
      <c r="Q18" s="20"/>
      <c r="R18" s="20"/>
      <c r="S18" s="23">
        <f t="shared" si="6"/>
        <v>0</v>
      </c>
      <c r="T18" s="23">
        <f t="shared" si="7"/>
        <v>0</v>
      </c>
      <c r="U18" s="6"/>
      <c r="V18" s="98">
        <f t="shared" si="8"/>
        <v>0</v>
      </c>
      <c r="W18" s="48">
        <v>2</v>
      </c>
      <c r="X18" s="39">
        <v>0</v>
      </c>
      <c r="Y18" s="39">
        <v>2</v>
      </c>
      <c r="Z18" s="40">
        <f t="shared" si="9"/>
        <v>0</v>
      </c>
      <c r="AA18" s="40">
        <f t="shared" si="10"/>
        <v>2</v>
      </c>
      <c r="AB18" s="41">
        <v>0</v>
      </c>
      <c r="AC18" s="94">
        <f t="shared" si="11"/>
        <v>0</v>
      </c>
    </row>
    <row r="19" spans="1:29" x14ac:dyDescent="0.55000000000000004">
      <c r="A19" s="1">
        <v>2002</v>
      </c>
      <c r="B19" s="49">
        <v>63</v>
      </c>
      <c r="C19" s="42">
        <v>0</v>
      </c>
      <c r="D19" s="42">
        <v>63</v>
      </c>
      <c r="E19" s="43">
        <f t="shared" si="0"/>
        <v>0</v>
      </c>
      <c r="F19" s="43">
        <f t="shared" si="1"/>
        <v>63</v>
      </c>
      <c r="G19" s="44">
        <v>7</v>
      </c>
      <c r="H19" s="95">
        <f t="shared" si="12"/>
        <v>0.1111111111111111</v>
      </c>
      <c r="I19" s="49">
        <v>27</v>
      </c>
      <c r="J19" s="42">
        <v>0</v>
      </c>
      <c r="K19" s="42">
        <v>27</v>
      </c>
      <c r="L19" s="43">
        <f t="shared" si="3"/>
        <v>0</v>
      </c>
      <c r="M19" s="43">
        <f t="shared" si="4"/>
        <v>27</v>
      </c>
      <c r="N19" s="44">
        <v>1</v>
      </c>
      <c r="O19" s="95">
        <f t="shared" si="5"/>
        <v>3.7037037037037035E-2</v>
      </c>
      <c r="P19" s="17"/>
      <c r="Q19" s="4"/>
      <c r="R19" s="4"/>
      <c r="S19" s="24">
        <f t="shared" si="6"/>
        <v>0</v>
      </c>
      <c r="T19" s="24">
        <f t="shared" si="7"/>
        <v>0</v>
      </c>
      <c r="U19" s="16"/>
      <c r="V19" s="97">
        <f t="shared" si="8"/>
        <v>0</v>
      </c>
      <c r="W19" s="49">
        <v>5</v>
      </c>
      <c r="X19" s="42">
        <v>0</v>
      </c>
      <c r="Y19" s="42">
        <v>5</v>
      </c>
      <c r="Z19" s="43">
        <f t="shared" si="9"/>
        <v>0</v>
      </c>
      <c r="AA19" s="43">
        <f t="shared" si="10"/>
        <v>5</v>
      </c>
      <c r="AB19" s="44">
        <v>1</v>
      </c>
      <c r="AC19" s="95">
        <f t="shared" si="11"/>
        <v>0.2</v>
      </c>
    </row>
    <row r="20" spans="1:29" x14ac:dyDescent="0.55000000000000004">
      <c r="A20" s="5">
        <v>2003</v>
      </c>
      <c r="B20" s="48">
        <v>99</v>
      </c>
      <c r="C20" s="39">
        <v>0</v>
      </c>
      <c r="D20" s="39">
        <v>99</v>
      </c>
      <c r="E20" s="40">
        <f t="shared" si="0"/>
        <v>0</v>
      </c>
      <c r="F20" s="40">
        <f t="shared" si="1"/>
        <v>99</v>
      </c>
      <c r="G20" s="41">
        <v>15</v>
      </c>
      <c r="H20" s="94">
        <f t="shared" si="12"/>
        <v>0.15151515151515152</v>
      </c>
      <c r="I20" s="48">
        <v>153</v>
      </c>
      <c r="J20" s="39">
        <v>0</v>
      </c>
      <c r="K20" s="39">
        <v>153</v>
      </c>
      <c r="L20" s="40">
        <f t="shared" si="3"/>
        <v>0</v>
      </c>
      <c r="M20" s="40">
        <f t="shared" si="4"/>
        <v>153</v>
      </c>
      <c r="N20" s="41">
        <v>0</v>
      </c>
      <c r="O20" s="94">
        <f t="shared" si="5"/>
        <v>0</v>
      </c>
      <c r="P20" s="6"/>
      <c r="Q20" s="20"/>
      <c r="R20" s="20"/>
      <c r="S20" s="23">
        <f t="shared" si="6"/>
        <v>0</v>
      </c>
      <c r="T20" s="23">
        <f t="shared" si="7"/>
        <v>0</v>
      </c>
      <c r="U20" s="6"/>
      <c r="V20" s="98">
        <f t="shared" si="8"/>
        <v>0</v>
      </c>
      <c r="W20" s="48">
        <v>13</v>
      </c>
      <c r="X20" s="39">
        <v>0</v>
      </c>
      <c r="Y20" s="39">
        <v>13</v>
      </c>
      <c r="Z20" s="40">
        <f t="shared" si="9"/>
        <v>0</v>
      </c>
      <c r="AA20" s="40">
        <f t="shared" si="10"/>
        <v>13</v>
      </c>
      <c r="AB20" s="41">
        <v>1</v>
      </c>
      <c r="AC20" s="94">
        <f t="shared" si="11"/>
        <v>7.6923076923076927E-2</v>
      </c>
    </row>
    <row r="21" spans="1:29" x14ac:dyDescent="0.55000000000000004">
      <c r="A21" s="1">
        <v>2004</v>
      </c>
      <c r="B21" s="49">
        <v>195</v>
      </c>
      <c r="C21" s="54">
        <v>0</v>
      </c>
      <c r="D21" s="54">
        <v>195</v>
      </c>
      <c r="E21" s="43">
        <f t="shared" si="0"/>
        <v>0</v>
      </c>
      <c r="F21" s="43">
        <f t="shared" si="1"/>
        <v>195</v>
      </c>
      <c r="G21" s="44">
        <v>12</v>
      </c>
      <c r="H21" s="95">
        <f t="shared" si="12"/>
        <v>6.1538461538461542E-2</v>
      </c>
      <c r="I21" s="49">
        <v>81</v>
      </c>
      <c r="J21" s="42">
        <v>0</v>
      </c>
      <c r="K21" s="42">
        <v>81</v>
      </c>
      <c r="L21" s="43">
        <f t="shared" si="3"/>
        <v>0</v>
      </c>
      <c r="M21" s="43">
        <f t="shared" si="4"/>
        <v>81</v>
      </c>
      <c r="N21" s="44">
        <v>3</v>
      </c>
      <c r="O21" s="95">
        <f t="shared" si="5"/>
        <v>3.7037037037037035E-2</v>
      </c>
      <c r="P21" s="17"/>
      <c r="Q21" s="4"/>
      <c r="R21" s="4"/>
      <c r="S21" s="24">
        <f t="shared" si="6"/>
        <v>0</v>
      </c>
      <c r="T21" s="24">
        <f t="shared" si="7"/>
        <v>0</v>
      </c>
      <c r="U21" s="16"/>
      <c r="V21" s="97">
        <f t="shared" si="8"/>
        <v>0</v>
      </c>
      <c r="W21" s="49">
        <v>15</v>
      </c>
      <c r="X21" s="42">
        <v>0</v>
      </c>
      <c r="Y21" s="42">
        <v>15</v>
      </c>
      <c r="Z21" s="43">
        <f t="shared" si="9"/>
        <v>0</v>
      </c>
      <c r="AA21" s="43">
        <f t="shared" si="10"/>
        <v>15</v>
      </c>
      <c r="AB21" s="44">
        <v>0</v>
      </c>
      <c r="AC21" s="95">
        <f t="shared" si="11"/>
        <v>0</v>
      </c>
    </row>
    <row r="22" spans="1:29" x14ac:dyDescent="0.55000000000000004">
      <c r="A22" s="5">
        <v>2005</v>
      </c>
      <c r="B22" s="48">
        <v>296</v>
      </c>
      <c r="C22" s="39">
        <v>0</v>
      </c>
      <c r="D22" s="39">
        <v>296</v>
      </c>
      <c r="E22" s="40">
        <f t="shared" si="0"/>
        <v>0</v>
      </c>
      <c r="F22" s="40">
        <f t="shared" si="1"/>
        <v>296</v>
      </c>
      <c r="G22" s="41">
        <v>13</v>
      </c>
      <c r="H22" s="94">
        <f t="shared" si="12"/>
        <v>4.3918918918918921E-2</v>
      </c>
      <c r="I22" s="48">
        <v>47</v>
      </c>
      <c r="J22" s="39">
        <v>0</v>
      </c>
      <c r="K22" s="39">
        <v>47</v>
      </c>
      <c r="L22" s="40">
        <f t="shared" si="3"/>
        <v>0</v>
      </c>
      <c r="M22" s="40">
        <f t="shared" si="4"/>
        <v>47</v>
      </c>
      <c r="N22" s="41">
        <v>4</v>
      </c>
      <c r="O22" s="94">
        <f t="shared" si="5"/>
        <v>8.5106382978723402E-2</v>
      </c>
      <c r="P22" s="6"/>
      <c r="Q22" s="20"/>
      <c r="R22" s="20"/>
      <c r="S22" s="23">
        <f t="shared" si="6"/>
        <v>0</v>
      </c>
      <c r="T22" s="23">
        <f t="shared" si="7"/>
        <v>0</v>
      </c>
      <c r="U22" s="6"/>
      <c r="V22" s="98">
        <f t="shared" si="8"/>
        <v>0</v>
      </c>
      <c r="W22" s="48">
        <v>22</v>
      </c>
      <c r="X22" s="39">
        <v>0</v>
      </c>
      <c r="Y22" s="39">
        <v>22</v>
      </c>
      <c r="Z22" s="40">
        <f t="shared" si="9"/>
        <v>0</v>
      </c>
      <c r="AA22" s="40">
        <f t="shared" si="10"/>
        <v>22</v>
      </c>
      <c r="AB22" s="41">
        <v>0</v>
      </c>
      <c r="AC22" s="94">
        <f t="shared" si="11"/>
        <v>0</v>
      </c>
    </row>
    <row r="23" spans="1:29" x14ac:dyDescent="0.55000000000000004">
      <c r="A23" s="1">
        <v>2006</v>
      </c>
      <c r="B23" s="49">
        <v>396</v>
      </c>
      <c r="C23" s="42">
        <v>0</v>
      </c>
      <c r="D23" s="42">
        <v>396</v>
      </c>
      <c r="E23" s="43">
        <f t="shared" si="0"/>
        <v>0</v>
      </c>
      <c r="F23" s="43">
        <f t="shared" si="1"/>
        <v>396</v>
      </c>
      <c r="G23" s="44">
        <v>14</v>
      </c>
      <c r="H23" s="95">
        <f t="shared" si="12"/>
        <v>3.5353535353535352E-2</v>
      </c>
      <c r="I23" s="49">
        <v>60</v>
      </c>
      <c r="J23" s="42">
        <v>0</v>
      </c>
      <c r="K23" s="42">
        <v>60</v>
      </c>
      <c r="L23" s="43">
        <f t="shared" si="3"/>
        <v>0</v>
      </c>
      <c r="M23" s="43">
        <f t="shared" si="4"/>
        <v>60</v>
      </c>
      <c r="N23" s="44">
        <v>1</v>
      </c>
      <c r="O23" s="95">
        <f t="shared" si="5"/>
        <v>1.6666666666666666E-2</v>
      </c>
      <c r="P23" s="17"/>
      <c r="Q23" s="4"/>
      <c r="R23" s="4"/>
      <c r="S23" s="24">
        <f t="shared" si="6"/>
        <v>0</v>
      </c>
      <c r="T23" s="24">
        <f t="shared" si="7"/>
        <v>0</v>
      </c>
      <c r="U23" s="16"/>
      <c r="V23" s="97">
        <f t="shared" si="8"/>
        <v>0</v>
      </c>
      <c r="W23" s="49">
        <v>27</v>
      </c>
      <c r="X23" s="42">
        <v>0</v>
      </c>
      <c r="Y23" s="42">
        <v>27</v>
      </c>
      <c r="Z23" s="43">
        <f t="shared" si="9"/>
        <v>0</v>
      </c>
      <c r="AA23" s="43">
        <f t="shared" si="10"/>
        <v>27</v>
      </c>
      <c r="AB23" s="44">
        <v>4</v>
      </c>
      <c r="AC23" s="95">
        <f t="shared" si="11"/>
        <v>0.14814814814814814</v>
      </c>
    </row>
    <row r="24" spans="1:29" x14ac:dyDescent="0.55000000000000004">
      <c r="A24" s="5">
        <v>2007</v>
      </c>
      <c r="B24" s="48">
        <v>380</v>
      </c>
      <c r="C24" s="39">
        <v>0</v>
      </c>
      <c r="D24" s="39">
        <v>380</v>
      </c>
      <c r="E24" s="40">
        <f t="shared" si="0"/>
        <v>0</v>
      </c>
      <c r="F24" s="40">
        <f t="shared" si="1"/>
        <v>380</v>
      </c>
      <c r="G24" s="41">
        <v>21</v>
      </c>
      <c r="H24" s="94">
        <f t="shared" si="12"/>
        <v>5.526315789473684E-2</v>
      </c>
      <c r="I24" s="48">
        <v>65</v>
      </c>
      <c r="J24" s="39">
        <v>0</v>
      </c>
      <c r="K24" s="39">
        <v>65</v>
      </c>
      <c r="L24" s="40">
        <f t="shared" si="3"/>
        <v>0</v>
      </c>
      <c r="M24" s="40">
        <f t="shared" si="4"/>
        <v>65</v>
      </c>
      <c r="N24" s="41">
        <v>5</v>
      </c>
      <c r="O24" s="94">
        <f t="shared" si="5"/>
        <v>7.6923076923076927E-2</v>
      </c>
      <c r="P24" s="6"/>
      <c r="Q24" s="20"/>
      <c r="R24" s="20"/>
      <c r="S24" s="23">
        <f t="shared" si="6"/>
        <v>0</v>
      </c>
      <c r="T24" s="23">
        <f t="shared" si="7"/>
        <v>0</v>
      </c>
      <c r="U24" s="6"/>
      <c r="V24" s="98">
        <f t="shared" si="8"/>
        <v>0</v>
      </c>
      <c r="W24" s="48">
        <v>24</v>
      </c>
      <c r="X24" s="39">
        <v>0</v>
      </c>
      <c r="Y24" s="39">
        <v>24</v>
      </c>
      <c r="Z24" s="40">
        <f t="shared" si="9"/>
        <v>0</v>
      </c>
      <c r="AA24" s="40">
        <f t="shared" si="10"/>
        <v>24</v>
      </c>
      <c r="AB24" s="41">
        <v>1</v>
      </c>
      <c r="AC24" s="94">
        <f t="shared" si="11"/>
        <v>4.1666666666666664E-2</v>
      </c>
    </row>
    <row r="25" spans="1:29" x14ac:dyDescent="0.55000000000000004">
      <c r="A25" s="1">
        <v>2008</v>
      </c>
      <c r="B25" s="49">
        <v>607</v>
      </c>
      <c r="C25" s="42">
        <v>0</v>
      </c>
      <c r="D25" s="42">
        <v>607</v>
      </c>
      <c r="E25" s="43">
        <f t="shared" si="0"/>
        <v>0</v>
      </c>
      <c r="F25" s="43">
        <f t="shared" si="1"/>
        <v>607</v>
      </c>
      <c r="G25" s="44">
        <v>15</v>
      </c>
      <c r="H25" s="95">
        <f t="shared" si="12"/>
        <v>2.4711696869851731E-2</v>
      </c>
      <c r="I25" s="49">
        <v>96</v>
      </c>
      <c r="J25" s="42">
        <v>0</v>
      </c>
      <c r="K25" s="42">
        <v>96</v>
      </c>
      <c r="L25" s="43">
        <f t="shared" si="3"/>
        <v>0</v>
      </c>
      <c r="M25" s="43">
        <f t="shared" si="4"/>
        <v>96</v>
      </c>
      <c r="N25" s="44">
        <v>3</v>
      </c>
      <c r="O25" s="95">
        <f t="shared" si="5"/>
        <v>3.125E-2</v>
      </c>
      <c r="P25" s="17"/>
      <c r="Q25" s="4"/>
      <c r="R25" s="4"/>
      <c r="S25" s="24">
        <f t="shared" si="6"/>
        <v>0</v>
      </c>
      <c r="T25" s="24">
        <f t="shared" si="7"/>
        <v>0</v>
      </c>
      <c r="U25" s="16"/>
      <c r="V25" s="97">
        <f t="shared" si="8"/>
        <v>0</v>
      </c>
      <c r="W25" s="49">
        <v>33</v>
      </c>
      <c r="X25" s="42">
        <v>1</v>
      </c>
      <c r="Y25" s="42">
        <v>33</v>
      </c>
      <c r="Z25" s="43">
        <f t="shared" si="9"/>
        <v>0</v>
      </c>
      <c r="AA25" s="43">
        <f t="shared" si="10"/>
        <v>32</v>
      </c>
      <c r="AB25" s="44">
        <v>2</v>
      </c>
      <c r="AC25" s="95">
        <f t="shared" si="11"/>
        <v>6.0606060606060608E-2</v>
      </c>
    </row>
    <row r="26" spans="1:29" x14ac:dyDescent="0.55000000000000004">
      <c r="A26" s="5">
        <v>2009</v>
      </c>
      <c r="B26" s="48">
        <v>671</v>
      </c>
      <c r="C26" s="39">
        <v>3</v>
      </c>
      <c r="D26" s="39">
        <v>671</v>
      </c>
      <c r="E26" s="40">
        <f t="shared" si="0"/>
        <v>0</v>
      </c>
      <c r="F26" s="40">
        <f t="shared" si="1"/>
        <v>668</v>
      </c>
      <c r="G26" s="41">
        <v>28</v>
      </c>
      <c r="H26" s="94">
        <f t="shared" si="12"/>
        <v>4.1728763040238454E-2</v>
      </c>
      <c r="I26" s="48">
        <v>135</v>
      </c>
      <c r="J26" s="39">
        <v>0</v>
      </c>
      <c r="K26" s="39">
        <v>135</v>
      </c>
      <c r="L26" s="40">
        <f t="shared" si="3"/>
        <v>0</v>
      </c>
      <c r="M26" s="40">
        <f t="shared" si="4"/>
        <v>135</v>
      </c>
      <c r="N26" s="41">
        <v>4</v>
      </c>
      <c r="O26" s="94">
        <f t="shared" si="5"/>
        <v>2.9629629629629631E-2</v>
      </c>
      <c r="P26" s="6"/>
      <c r="Q26" s="20"/>
      <c r="R26" s="20"/>
      <c r="S26" s="23">
        <f t="shared" si="6"/>
        <v>0</v>
      </c>
      <c r="T26" s="23">
        <f t="shared" si="7"/>
        <v>0</v>
      </c>
      <c r="U26" s="6"/>
      <c r="V26" s="98">
        <f t="shared" si="8"/>
        <v>0</v>
      </c>
      <c r="W26" s="48">
        <v>34</v>
      </c>
      <c r="X26" s="39">
        <v>0</v>
      </c>
      <c r="Y26" s="39">
        <v>34</v>
      </c>
      <c r="Z26" s="40">
        <f t="shared" si="9"/>
        <v>0</v>
      </c>
      <c r="AA26" s="40">
        <f t="shared" si="10"/>
        <v>34</v>
      </c>
      <c r="AB26" s="41">
        <v>2</v>
      </c>
      <c r="AC26" s="94">
        <f t="shared" si="11"/>
        <v>5.8823529411764705E-2</v>
      </c>
    </row>
    <row r="27" spans="1:29" x14ac:dyDescent="0.55000000000000004">
      <c r="A27" s="1">
        <v>2010</v>
      </c>
      <c r="B27" s="49">
        <v>852</v>
      </c>
      <c r="C27" s="42">
        <v>0</v>
      </c>
      <c r="D27" s="42">
        <v>852</v>
      </c>
      <c r="E27" s="43">
        <f t="shared" si="0"/>
        <v>0</v>
      </c>
      <c r="F27" s="43">
        <f t="shared" si="1"/>
        <v>852</v>
      </c>
      <c r="G27" s="44">
        <v>17</v>
      </c>
      <c r="H27" s="95">
        <f t="shared" si="12"/>
        <v>1.9953051643192488E-2</v>
      </c>
      <c r="I27" s="49">
        <v>109</v>
      </c>
      <c r="J27" s="42">
        <v>0</v>
      </c>
      <c r="K27" s="42">
        <v>109</v>
      </c>
      <c r="L27" s="43">
        <f t="shared" si="3"/>
        <v>0</v>
      </c>
      <c r="M27" s="43">
        <f t="shared" si="4"/>
        <v>109</v>
      </c>
      <c r="N27" s="44">
        <v>4</v>
      </c>
      <c r="O27" s="95">
        <f t="shared" si="5"/>
        <v>3.669724770642202E-2</v>
      </c>
      <c r="P27" s="17"/>
      <c r="Q27" s="21"/>
      <c r="R27" s="4"/>
      <c r="S27" s="24">
        <f t="shared" si="6"/>
        <v>0</v>
      </c>
      <c r="T27" s="24">
        <f t="shared" si="7"/>
        <v>0</v>
      </c>
      <c r="U27" s="16"/>
      <c r="V27" s="97">
        <f t="shared" si="8"/>
        <v>0</v>
      </c>
      <c r="W27" s="49">
        <v>37</v>
      </c>
      <c r="X27" s="42">
        <v>0</v>
      </c>
      <c r="Y27" s="42">
        <v>37</v>
      </c>
      <c r="Z27" s="43">
        <f t="shared" si="9"/>
        <v>0</v>
      </c>
      <c r="AA27" s="43">
        <f t="shared" si="10"/>
        <v>37</v>
      </c>
      <c r="AB27" s="44">
        <v>1</v>
      </c>
      <c r="AC27" s="95">
        <f t="shared" si="11"/>
        <v>2.7027027027027029E-2</v>
      </c>
    </row>
    <row r="28" spans="1:29" x14ac:dyDescent="0.55000000000000004">
      <c r="A28" s="5">
        <v>2011</v>
      </c>
      <c r="B28" s="48">
        <v>692</v>
      </c>
      <c r="C28" s="41">
        <v>1</v>
      </c>
      <c r="D28" s="41">
        <v>692</v>
      </c>
      <c r="E28" s="40">
        <f t="shared" si="0"/>
        <v>0</v>
      </c>
      <c r="F28" s="40">
        <f t="shared" si="1"/>
        <v>691</v>
      </c>
      <c r="G28" s="41">
        <v>20</v>
      </c>
      <c r="H28" s="94">
        <f t="shared" si="12"/>
        <v>2.8901734104046242E-2</v>
      </c>
      <c r="I28" s="48">
        <v>111</v>
      </c>
      <c r="J28" s="41">
        <v>2</v>
      </c>
      <c r="K28" s="41">
        <v>111</v>
      </c>
      <c r="L28" s="40">
        <f t="shared" si="3"/>
        <v>0</v>
      </c>
      <c r="M28" s="40">
        <f t="shared" si="4"/>
        <v>109</v>
      </c>
      <c r="N28" s="41">
        <v>5</v>
      </c>
      <c r="O28" s="94">
        <f t="shared" si="5"/>
        <v>4.5045045045045043E-2</v>
      </c>
      <c r="P28" s="6"/>
      <c r="Q28" s="6"/>
      <c r="R28" s="6"/>
      <c r="S28" s="23">
        <f t="shared" si="6"/>
        <v>0</v>
      </c>
      <c r="T28" s="23">
        <f t="shared" si="7"/>
        <v>0</v>
      </c>
      <c r="U28" s="6"/>
      <c r="V28" s="98">
        <f t="shared" si="8"/>
        <v>0</v>
      </c>
      <c r="W28" s="48">
        <v>52</v>
      </c>
      <c r="X28" s="41">
        <v>0</v>
      </c>
      <c r="Y28" s="41">
        <v>52</v>
      </c>
      <c r="Z28" s="40">
        <f t="shared" si="9"/>
        <v>0</v>
      </c>
      <c r="AA28" s="40">
        <f t="shared" si="10"/>
        <v>52</v>
      </c>
      <c r="AB28" s="41">
        <v>4</v>
      </c>
      <c r="AC28" s="94">
        <f t="shared" si="11"/>
        <v>7.6923076923076927E-2</v>
      </c>
    </row>
    <row r="29" spans="1:29" x14ac:dyDescent="0.55000000000000004">
      <c r="A29" s="1">
        <v>2012</v>
      </c>
      <c r="B29" s="49">
        <v>711</v>
      </c>
      <c r="C29" s="45">
        <v>7</v>
      </c>
      <c r="D29" s="45">
        <v>711</v>
      </c>
      <c r="E29" s="43">
        <f t="shared" si="0"/>
        <v>0</v>
      </c>
      <c r="F29" s="43">
        <f t="shared" si="1"/>
        <v>704</v>
      </c>
      <c r="G29" s="44">
        <v>28</v>
      </c>
      <c r="H29" s="95">
        <f t="shared" si="12"/>
        <v>3.9381153305203941E-2</v>
      </c>
      <c r="I29" s="49">
        <v>82</v>
      </c>
      <c r="J29" s="45">
        <v>7</v>
      </c>
      <c r="K29" s="45">
        <v>82</v>
      </c>
      <c r="L29" s="43">
        <f t="shared" si="3"/>
        <v>0</v>
      </c>
      <c r="M29" s="43">
        <f t="shared" si="4"/>
        <v>75</v>
      </c>
      <c r="N29" s="44">
        <v>6</v>
      </c>
      <c r="O29" s="95">
        <f t="shared" si="5"/>
        <v>7.3170731707317069E-2</v>
      </c>
      <c r="P29" s="17"/>
      <c r="Q29" s="11"/>
      <c r="S29" s="24">
        <f t="shared" si="6"/>
        <v>0</v>
      </c>
      <c r="T29" s="24">
        <f t="shared" si="7"/>
        <v>0</v>
      </c>
      <c r="U29" s="16"/>
      <c r="V29" s="97">
        <f t="shared" si="8"/>
        <v>0</v>
      </c>
      <c r="W29" s="49">
        <v>68</v>
      </c>
      <c r="X29" s="45">
        <v>2</v>
      </c>
      <c r="Y29" s="45">
        <v>68</v>
      </c>
      <c r="Z29" s="43">
        <f t="shared" si="9"/>
        <v>0</v>
      </c>
      <c r="AA29" s="43">
        <f t="shared" si="10"/>
        <v>66</v>
      </c>
      <c r="AB29" s="44">
        <v>2</v>
      </c>
      <c r="AC29" s="95">
        <f t="shared" si="11"/>
        <v>2.9411764705882353E-2</v>
      </c>
    </row>
    <row r="30" spans="1:29" x14ac:dyDescent="0.55000000000000004">
      <c r="A30" s="5">
        <v>2013</v>
      </c>
      <c r="B30" s="48">
        <v>698</v>
      </c>
      <c r="C30" s="41">
        <v>64</v>
      </c>
      <c r="D30" s="41">
        <v>690</v>
      </c>
      <c r="E30" s="40">
        <f t="shared" si="0"/>
        <v>8</v>
      </c>
      <c r="F30" s="40">
        <f t="shared" si="1"/>
        <v>634</v>
      </c>
      <c r="G30" s="41">
        <v>17</v>
      </c>
      <c r="H30" s="94">
        <f t="shared" si="12"/>
        <v>2.4355300859598854E-2</v>
      </c>
      <c r="I30" s="48">
        <v>98</v>
      </c>
      <c r="J30" s="41">
        <v>42</v>
      </c>
      <c r="K30" s="41">
        <v>98</v>
      </c>
      <c r="L30" s="40">
        <f t="shared" si="3"/>
        <v>0</v>
      </c>
      <c r="M30" s="40">
        <f t="shared" si="4"/>
        <v>56</v>
      </c>
      <c r="N30" s="41">
        <v>3</v>
      </c>
      <c r="O30" s="94">
        <f t="shared" si="5"/>
        <v>3.0612244897959183E-2</v>
      </c>
      <c r="P30" s="6"/>
      <c r="Q30" s="6"/>
      <c r="R30" s="6"/>
      <c r="S30" s="23">
        <f t="shared" si="6"/>
        <v>0</v>
      </c>
      <c r="T30" s="23">
        <f t="shared" si="7"/>
        <v>0</v>
      </c>
      <c r="U30" s="6"/>
      <c r="V30" s="98">
        <f t="shared" si="8"/>
        <v>0</v>
      </c>
      <c r="W30" s="48">
        <v>48</v>
      </c>
      <c r="X30" s="41">
        <v>2</v>
      </c>
      <c r="Y30" s="41">
        <v>47</v>
      </c>
      <c r="Z30" s="40">
        <f t="shared" si="9"/>
        <v>1</v>
      </c>
      <c r="AA30" s="40">
        <f t="shared" si="10"/>
        <v>46</v>
      </c>
      <c r="AB30" s="41">
        <v>4</v>
      </c>
      <c r="AC30" s="94">
        <f t="shared" si="11"/>
        <v>8.3333333333333329E-2</v>
      </c>
    </row>
    <row r="31" spans="1:29" x14ac:dyDescent="0.55000000000000004">
      <c r="A31" s="1">
        <v>2014</v>
      </c>
      <c r="B31" s="49">
        <v>636</v>
      </c>
      <c r="C31" s="45">
        <v>130</v>
      </c>
      <c r="D31" s="45">
        <v>612</v>
      </c>
      <c r="E31" s="43">
        <f t="shared" si="0"/>
        <v>24</v>
      </c>
      <c r="F31" s="43">
        <f t="shared" si="1"/>
        <v>506</v>
      </c>
      <c r="G31" s="44">
        <v>25</v>
      </c>
      <c r="H31" s="95">
        <f t="shared" si="12"/>
        <v>3.9308176100628929E-2</v>
      </c>
      <c r="I31" s="49">
        <v>102</v>
      </c>
      <c r="J31" s="45">
        <v>121</v>
      </c>
      <c r="K31" s="45">
        <v>102</v>
      </c>
      <c r="L31" s="43">
        <f t="shared" si="3"/>
        <v>0</v>
      </c>
      <c r="M31" s="43">
        <f t="shared" si="4"/>
        <v>-19</v>
      </c>
      <c r="N31" s="44">
        <v>7</v>
      </c>
      <c r="O31" s="95">
        <f t="shared" si="5"/>
        <v>6.8627450980392163E-2</v>
      </c>
      <c r="P31" s="17"/>
      <c r="Q31" s="8"/>
      <c r="S31" s="24">
        <f t="shared" si="6"/>
        <v>0</v>
      </c>
      <c r="T31" s="24">
        <f t="shared" si="7"/>
        <v>0</v>
      </c>
      <c r="U31" s="16"/>
      <c r="V31" s="97">
        <f t="shared" si="8"/>
        <v>0</v>
      </c>
      <c r="W31" s="49">
        <v>64</v>
      </c>
      <c r="X31" s="45">
        <v>3</v>
      </c>
      <c r="Y31" s="45">
        <v>63</v>
      </c>
      <c r="Z31" s="43">
        <f t="shared" si="9"/>
        <v>1</v>
      </c>
      <c r="AA31" s="43">
        <f t="shared" si="10"/>
        <v>61</v>
      </c>
      <c r="AB31" s="44">
        <v>4</v>
      </c>
      <c r="AC31" s="95">
        <f t="shared" si="11"/>
        <v>6.25E-2</v>
      </c>
    </row>
    <row r="32" spans="1:29" x14ac:dyDescent="0.55000000000000004">
      <c r="A32" s="5">
        <v>2015</v>
      </c>
      <c r="B32" s="48">
        <v>542</v>
      </c>
      <c r="C32" s="41">
        <v>165</v>
      </c>
      <c r="D32" s="41">
        <v>515</v>
      </c>
      <c r="E32" s="40">
        <f t="shared" si="0"/>
        <v>27</v>
      </c>
      <c r="F32" s="40">
        <f t="shared" si="1"/>
        <v>377</v>
      </c>
      <c r="G32" s="41">
        <v>24</v>
      </c>
      <c r="H32" s="94">
        <f t="shared" si="12"/>
        <v>4.4280442804428041E-2</v>
      </c>
      <c r="I32" s="48">
        <v>79</v>
      </c>
      <c r="J32" s="41">
        <v>114</v>
      </c>
      <c r="K32" s="41">
        <v>79</v>
      </c>
      <c r="L32" s="40">
        <f t="shared" si="3"/>
        <v>0</v>
      </c>
      <c r="M32" s="40">
        <f t="shared" si="4"/>
        <v>-35</v>
      </c>
      <c r="N32" s="41">
        <v>2</v>
      </c>
      <c r="O32" s="94">
        <f t="shared" si="5"/>
        <v>2.5316455696202531E-2</v>
      </c>
      <c r="P32" s="6"/>
      <c r="Q32" s="6"/>
      <c r="R32" s="6"/>
      <c r="S32" s="23">
        <f t="shared" si="6"/>
        <v>0</v>
      </c>
      <c r="T32" s="23">
        <f t="shared" si="7"/>
        <v>0</v>
      </c>
      <c r="U32" s="6"/>
      <c r="V32" s="98">
        <f t="shared" si="8"/>
        <v>0</v>
      </c>
      <c r="W32" s="48">
        <v>107</v>
      </c>
      <c r="X32" s="41">
        <v>16</v>
      </c>
      <c r="Y32" s="41">
        <v>105</v>
      </c>
      <c r="Z32" s="40">
        <f t="shared" si="9"/>
        <v>2</v>
      </c>
      <c r="AA32" s="40">
        <f t="shared" si="10"/>
        <v>91</v>
      </c>
      <c r="AB32" s="41">
        <v>5</v>
      </c>
      <c r="AC32" s="94">
        <f t="shared" si="11"/>
        <v>4.6728971962616821E-2</v>
      </c>
    </row>
    <row r="33" spans="1:74" x14ac:dyDescent="0.55000000000000004">
      <c r="A33" s="1">
        <v>2016</v>
      </c>
      <c r="B33" s="49">
        <v>529</v>
      </c>
      <c r="C33" s="45">
        <v>176</v>
      </c>
      <c r="D33" s="45">
        <v>504</v>
      </c>
      <c r="E33" s="43">
        <f t="shared" si="0"/>
        <v>25</v>
      </c>
      <c r="F33" s="43">
        <f t="shared" si="1"/>
        <v>353</v>
      </c>
      <c r="G33" s="44">
        <v>15</v>
      </c>
      <c r="H33" s="95">
        <f t="shared" si="12"/>
        <v>2.835538752362949E-2</v>
      </c>
      <c r="I33" s="49">
        <v>105</v>
      </c>
      <c r="J33" s="55">
        <v>145</v>
      </c>
      <c r="K33" s="55">
        <v>105</v>
      </c>
      <c r="L33" s="43">
        <f t="shared" si="3"/>
        <v>0</v>
      </c>
      <c r="M33" s="43">
        <f t="shared" si="4"/>
        <v>-40</v>
      </c>
      <c r="N33" s="44">
        <v>12</v>
      </c>
      <c r="O33" s="95">
        <f t="shared" si="5"/>
        <v>0.11428571428571428</v>
      </c>
      <c r="P33" s="17"/>
      <c r="Q33" s="8"/>
      <c r="S33" s="24">
        <f t="shared" si="6"/>
        <v>0</v>
      </c>
      <c r="T33" s="24">
        <f t="shared" si="7"/>
        <v>0</v>
      </c>
      <c r="U33" s="16"/>
      <c r="V33" s="97">
        <f t="shared" si="8"/>
        <v>0</v>
      </c>
      <c r="W33" s="49">
        <v>70</v>
      </c>
      <c r="X33" s="45">
        <v>10</v>
      </c>
      <c r="Y33" s="45">
        <v>69</v>
      </c>
      <c r="Z33" s="43">
        <f t="shared" si="9"/>
        <v>1</v>
      </c>
      <c r="AA33" s="43">
        <f t="shared" si="10"/>
        <v>60</v>
      </c>
      <c r="AB33" s="44">
        <v>3</v>
      </c>
      <c r="AC33" s="95">
        <f t="shared" si="11"/>
        <v>4.2857142857142858E-2</v>
      </c>
    </row>
    <row r="34" spans="1:74" x14ac:dyDescent="0.55000000000000004">
      <c r="A34" s="5">
        <v>2017</v>
      </c>
      <c r="B34" s="48">
        <v>493</v>
      </c>
      <c r="C34" s="41">
        <v>189</v>
      </c>
      <c r="D34" s="41">
        <v>469</v>
      </c>
      <c r="E34" s="40">
        <f t="shared" si="0"/>
        <v>24</v>
      </c>
      <c r="F34" s="40">
        <f t="shared" si="1"/>
        <v>304</v>
      </c>
      <c r="G34" s="41">
        <v>31</v>
      </c>
      <c r="H34" s="94">
        <f t="shared" si="12"/>
        <v>6.2880324543610547E-2</v>
      </c>
      <c r="I34" s="48">
        <v>161</v>
      </c>
      <c r="J34" s="41">
        <v>122</v>
      </c>
      <c r="K34" s="41">
        <v>161</v>
      </c>
      <c r="L34" s="40">
        <f t="shared" si="3"/>
        <v>0</v>
      </c>
      <c r="M34" s="40">
        <f t="shared" si="4"/>
        <v>39</v>
      </c>
      <c r="N34" s="41">
        <v>15</v>
      </c>
      <c r="O34" s="94">
        <f t="shared" si="5"/>
        <v>9.3167701863354033E-2</v>
      </c>
      <c r="P34" s="6"/>
      <c r="Q34" s="6"/>
      <c r="R34" s="6"/>
      <c r="S34" s="23">
        <f t="shared" si="6"/>
        <v>0</v>
      </c>
      <c r="T34" s="23">
        <f t="shared" si="7"/>
        <v>0</v>
      </c>
      <c r="U34" s="6"/>
      <c r="V34" s="98">
        <f t="shared" si="8"/>
        <v>0</v>
      </c>
      <c r="W34" s="48">
        <v>56</v>
      </c>
      <c r="X34" s="41">
        <v>18</v>
      </c>
      <c r="Y34" s="41">
        <v>50</v>
      </c>
      <c r="Z34" s="40">
        <f t="shared" si="9"/>
        <v>6</v>
      </c>
      <c r="AA34" s="40">
        <f t="shared" si="10"/>
        <v>38</v>
      </c>
      <c r="AB34" s="41">
        <v>4</v>
      </c>
      <c r="AC34" s="94">
        <f t="shared" si="11"/>
        <v>7.1428571428571425E-2</v>
      </c>
    </row>
    <row r="35" spans="1:74" x14ac:dyDescent="0.55000000000000004">
      <c r="A35" s="1">
        <v>2018</v>
      </c>
      <c r="B35" s="49">
        <v>495</v>
      </c>
      <c r="C35" s="45">
        <v>263</v>
      </c>
      <c r="D35" s="45">
        <v>471</v>
      </c>
      <c r="E35" s="43">
        <f t="shared" si="0"/>
        <v>24</v>
      </c>
      <c r="F35" s="43">
        <f t="shared" si="1"/>
        <v>232</v>
      </c>
      <c r="G35" s="44">
        <v>33</v>
      </c>
      <c r="H35" s="95">
        <f t="shared" si="12"/>
        <v>6.6666666666666666E-2</v>
      </c>
      <c r="I35" s="49">
        <v>218</v>
      </c>
      <c r="J35" s="55">
        <v>105</v>
      </c>
      <c r="K35" s="55">
        <v>218</v>
      </c>
      <c r="L35" s="43">
        <f t="shared" si="3"/>
        <v>0</v>
      </c>
      <c r="M35" s="43">
        <f t="shared" si="4"/>
        <v>113</v>
      </c>
      <c r="N35" s="44">
        <v>20</v>
      </c>
      <c r="O35" s="95">
        <f t="shared" si="5"/>
        <v>9.1743119266055051E-2</v>
      </c>
      <c r="P35" s="17"/>
      <c r="Q35" s="8"/>
      <c r="S35" s="24">
        <f t="shared" si="6"/>
        <v>0</v>
      </c>
      <c r="T35" s="24">
        <f t="shared" si="7"/>
        <v>0</v>
      </c>
      <c r="U35" s="16"/>
      <c r="V35" s="97">
        <f t="shared" si="8"/>
        <v>0</v>
      </c>
      <c r="W35" s="49">
        <v>53</v>
      </c>
      <c r="X35" s="45">
        <v>16</v>
      </c>
      <c r="Y35" s="45">
        <v>51</v>
      </c>
      <c r="Z35" s="43">
        <f t="shared" si="9"/>
        <v>2</v>
      </c>
      <c r="AA35" s="43">
        <f t="shared" si="10"/>
        <v>37</v>
      </c>
      <c r="AB35" s="44">
        <v>6</v>
      </c>
      <c r="AC35" s="95">
        <f t="shared" si="11"/>
        <v>0.11320754716981132</v>
      </c>
    </row>
    <row r="36" spans="1:74" x14ac:dyDescent="0.55000000000000004">
      <c r="A36" s="5">
        <v>2019</v>
      </c>
      <c r="B36" s="48">
        <v>509</v>
      </c>
      <c r="C36" s="41">
        <v>233</v>
      </c>
      <c r="D36" s="41">
        <v>476</v>
      </c>
      <c r="E36" s="40">
        <f t="shared" si="0"/>
        <v>33</v>
      </c>
      <c r="F36" s="40">
        <f t="shared" si="1"/>
        <v>276</v>
      </c>
      <c r="G36" s="41">
        <v>63</v>
      </c>
      <c r="H36" s="94">
        <f t="shared" si="12"/>
        <v>0.1237721021611002</v>
      </c>
      <c r="I36" s="48">
        <v>298</v>
      </c>
      <c r="J36" s="41">
        <v>97</v>
      </c>
      <c r="K36" s="41">
        <v>298</v>
      </c>
      <c r="L36" s="40">
        <f t="shared" si="3"/>
        <v>0</v>
      </c>
      <c r="M36" s="40">
        <f t="shared" si="4"/>
        <v>201</v>
      </c>
      <c r="N36" s="41">
        <v>12</v>
      </c>
      <c r="O36" s="94">
        <f t="shared" si="5"/>
        <v>4.0268456375838924E-2</v>
      </c>
      <c r="P36" s="6"/>
      <c r="Q36" s="6"/>
      <c r="R36" s="6"/>
      <c r="S36" s="23">
        <f t="shared" si="6"/>
        <v>0</v>
      </c>
      <c r="T36" s="23">
        <f t="shared" si="7"/>
        <v>0</v>
      </c>
      <c r="U36" s="6"/>
      <c r="V36" s="98">
        <f t="shared" si="8"/>
        <v>0</v>
      </c>
      <c r="W36" s="48">
        <v>54</v>
      </c>
      <c r="X36" s="41">
        <v>19</v>
      </c>
      <c r="Y36" s="41">
        <v>50</v>
      </c>
      <c r="Z36" s="40">
        <f t="shared" si="9"/>
        <v>4</v>
      </c>
      <c r="AA36" s="40">
        <f t="shared" si="10"/>
        <v>35</v>
      </c>
      <c r="AB36" s="41">
        <v>3</v>
      </c>
      <c r="AC36" s="94">
        <f t="shared" si="11"/>
        <v>5.5555555555555552E-2</v>
      </c>
    </row>
    <row r="37" spans="1:74" x14ac:dyDescent="0.55000000000000004">
      <c r="A37" s="1">
        <v>2020</v>
      </c>
      <c r="B37" s="49">
        <v>486</v>
      </c>
      <c r="C37" s="45">
        <v>230</v>
      </c>
      <c r="D37" s="45">
        <v>462</v>
      </c>
      <c r="E37" s="43">
        <f t="shared" si="0"/>
        <v>24</v>
      </c>
      <c r="F37" s="43">
        <f t="shared" si="1"/>
        <v>256</v>
      </c>
      <c r="G37" s="44">
        <v>79</v>
      </c>
      <c r="H37" s="95">
        <f t="shared" si="12"/>
        <v>0.16255144032921812</v>
      </c>
      <c r="I37" s="49">
        <v>246</v>
      </c>
      <c r="J37" s="55">
        <v>96</v>
      </c>
      <c r="K37" s="55">
        <v>246</v>
      </c>
      <c r="L37" s="43">
        <f t="shared" si="3"/>
        <v>0</v>
      </c>
      <c r="M37" s="43">
        <f t="shared" si="4"/>
        <v>150</v>
      </c>
      <c r="N37" s="44">
        <v>28</v>
      </c>
      <c r="O37" s="95">
        <f t="shared" si="5"/>
        <v>0.11382113821138211</v>
      </c>
      <c r="P37" s="17"/>
      <c r="Q37" s="8"/>
      <c r="S37" s="24">
        <f t="shared" si="6"/>
        <v>0</v>
      </c>
      <c r="T37" s="24">
        <f t="shared" si="7"/>
        <v>0</v>
      </c>
      <c r="U37" s="16"/>
      <c r="V37" s="97">
        <f t="shared" si="8"/>
        <v>0</v>
      </c>
      <c r="W37" s="49">
        <v>63</v>
      </c>
      <c r="X37" s="45">
        <v>9</v>
      </c>
      <c r="Y37" s="45">
        <v>63</v>
      </c>
      <c r="Z37" s="43">
        <f t="shared" si="9"/>
        <v>0</v>
      </c>
      <c r="AA37" s="43">
        <f t="shared" si="10"/>
        <v>54</v>
      </c>
      <c r="AB37" s="44">
        <v>10</v>
      </c>
      <c r="AC37" s="95">
        <f t="shared" si="11"/>
        <v>0.15873015873015872</v>
      </c>
    </row>
    <row r="38" spans="1:74" x14ac:dyDescent="0.55000000000000004">
      <c r="A38" s="5">
        <v>2021</v>
      </c>
      <c r="B38" s="48">
        <v>597</v>
      </c>
      <c r="C38" s="41">
        <v>214</v>
      </c>
      <c r="D38" s="41">
        <v>588</v>
      </c>
      <c r="E38" s="40">
        <f t="shared" si="0"/>
        <v>9</v>
      </c>
      <c r="F38" s="40">
        <f t="shared" si="1"/>
        <v>383</v>
      </c>
      <c r="G38" s="41">
        <v>123</v>
      </c>
      <c r="H38" s="94">
        <f t="shared" si="12"/>
        <v>0.20603015075376885</v>
      </c>
      <c r="I38" s="48">
        <v>310</v>
      </c>
      <c r="J38" s="41">
        <v>72</v>
      </c>
      <c r="K38" s="41">
        <v>310</v>
      </c>
      <c r="L38" s="40">
        <f t="shared" si="3"/>
        <v>0</v>
      </c>
      <c r="M38" s="40">
        <f t="shared" si="4"/>
        <v>238</v>
      </c>
      <c r="N38" s="41">
        <v>24</v>
      </c>
      <c r="O38" s="94">
        <f t="shared" si="5"/>
        <v>7.7419354838709681E-2</v>
      </c>
      <c r="P38" s="6"/>
      <c r="Q38" s="6"/>
      <c r="R38" s="6"/>
      <c r="S38" s="23">
        <f t="shared" si="6"/>
        <v>0</v>
      </c>
      <c r="T38" s="23">
        <f t="shared" si="7"/>
        <v>0</v>
      </c>
      <c r="U38" s="6"/>
      <c r="V38" s="98">
        <f t="shared" si="8"/>
        <v>0</v>
      </c>
      <c r="W38" s="48">
        <v>47</v>
      </c>
      <c r="X38" s="41">
        <v>22</v>
      </c>
      <c r="Y38" s="41">
        <v>46</v>
      </c>
      <c r="Z38" s="40">
        <f t="shared" si="9"/>
        <v>1</v>
      </c>
      <c r="AA38" s="40">
        <f t="shared" si="10"/>
        <v>25</v>
      </c>
      <c r="AB38" s="41">
        <v>18</v>
      </c>
      <c r="AC38" s="94">
        <f t="shared" si="11"/>
        <v>0.38297872340425532</v>
      </c>
    </row>
    <row r="39" spans="1:74" x14ac:dyDescent="0.55000000000000004">
      <c r="A39" s="1">
        <v>2022</v>
      </c>
      <c r="B39" s="49">
        <v>640</v>
      </c>
      <c r="C39" s="45">
        <v>203</v>
      </c>
      <c r="D39" s="45">
        <v>624</v>
      </c>
      <c r="E39" s="43">
        <f t="shared" si="0"/>
        <v>16</v>
      </c>
      <c r="F39" s="43">
        <f t="shared" si="1"/>
        <v>437</v>
      </c>
      <c r="G39" s="44">
        <v>157</v>
      </c>
      <c r="H39" s="95">
        <f t="shared" si="12"/>
        <v>0.24531249999999999</v>
      </c>
      <c r="I39" s="49">
        <v>252</v>
      </c>
      <c r="J39" s="55">
        <v>71</v>
      </c>
      <c r="K39" s="55">
        <v>252</v>
      </c>
      <c r="L39" s="43">
        <f t="shared" si="3"/>
        <v>0</v>
      </c>
      <c r="M39" s="43">
        <f t="shared" si="4"/>
        <v>181</v>
      </c>
      <c r="N39" s="44">
        <v>25</v>
      </c>
      <c r="O39" s="95">
        <f t="shared" si="5"/>
        <v>9.9206349206349201E-2</v>
      </c>
      <c r="P39" s="17"/>
      <c r="Q39" s="8"/>
      <c r="S39" s="24">
        <f t="shared" si="6"/>
        <v>0</v>
      </c>
      <c r="T39" s="24">
        <f t="shared" si="7"/>
        <v>0</v>
      </c>
      <c r="U39" s="16"/>
      <c r="V39" s="97">
        <f t="shared" si="8"/>
        <v>0</v>
      </c>
      <c r="W39" s="49">
        <v>63</v>
      </c>
      <c r="X39" s="45">
        <v>15</v>
      </c>
      <c r="Y39" s="45">
        <v>60</v>
      </c>
      <c r="Z39" s="43">
        <f t="shared" si="9"/>
        <v>3</v>
      </c>
      <c r="AA39" s="43">
        <f t="shared" si="10"/>
        <v>48</v>
      </c>
      <c r="AB39" s="44">
        <v>44</v>
      </c>
      <c r="AC39" s="95">
        <f t="shared" si="11"/>
        <v>0.69841269841269837</v>
      </c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</row>
    <row r="40" spans="1:74" x14ac:dyDescent="0.55000000000000004">
      <c r="B40" s="50"/>
      <c r="C40" s="45"/>
      <c r="D40" s="45"/>
      <c r="E40" s="45"/>
      <c r="F40" s="45"/>
      <c r="G40" s="45"/>
      <c r="H40" s="51"/>
      <c r="I40" s="50"/>
      <c r="J40" s="45"/>
      <c r="K40" s="45"/>
      <c r="L40" s="45"/>
      <c r="M40" s="45"/>
      <c r="N40" s="45"/>
      <c r="O40" s="51"/>
      <c r="W40" s="50"/>
      <c r="X40" s="45"/>
      <c r="Y40" s="45"/>
      <c r="Z40" s="45"/>
      <c r="AA40" s="45"/>
      <c r="AB40" s="45"/>
      <c r="AC40" s="51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</row>
    <row r="41" spans="1:74" x14ac:dyDescent="0.55000000000000004">
      <c r="A41" s="1" t="s">
        <v>7</v>
      </c>
      <c r="B41" s="49">
        <f>SUM(B14:B39)</f>
        <v>10624</v>
      </c>
      <c r="C41" s="45">
        <f t="shared" ref="C41:F41" si="13">SUM(C14:C39)</f>
        <v>1878</v>
      </c>
      <c r="D41" s="45">
        <f t="shared" si="13"/>
        <v>10410</v>
      </c>
      <c r="E41" s="43">
        <f t="shared" si="13"/>
        <v>214</v>
      </c>
      <c r="F41" s="43">
        <f t="shared" si="13"/>
        <v>8746</v>
      </c>
      <c r="G41" s="44">
        <f>SUM(G14:G39)</f>
        <v>775</v>
      </c>
      <c r="H41" s="95">
        <f>IFERROR(G41/B41,0)</f>
        <v>7.2948042168674704E-2</v>
      </c>
      <c r="I41" s="49">
        <f>SUM(I14:I39)</f>
        <v>2840</v>
      </c>
      <c r="J41" s="45">
        <f t="shared" ref="J41:M41" si="14">SUM(J14:J39)</f>
        <v>994</v>
      </c>
      <c r="K41" s="45">
        <f t="shared" si="14"/>
        <v>2840</v>
      </c>
      <c r="L41" s="43">
        <f t="shared" si="14"/>
        <v>0</v>
      </c>
      <c r="M41" s="43">
        <f t="shared" si="14"/>
        <v>1846</v>
      </c>
      <c r="N41" s="44">
        <f>SUM(N14:N39)</f>
        <v>187</v>
      </c>
      <c r="O41" s="95">
        <f>IFERROR(N41/I41,0)</f>
        <v>6.5845070422535207E-2</v>
      </c>
      <c r="P41" s="17">
        <f>SUM(P14:P39)</f>
        <v>0</v>
      </c>
      <c r="Q41">
        <f t="shared" ref="Q41:T41" si="15">SUM(Q14:Q39)</f>
        <v>0</v>
      </c>
      <c r="R41">
        <f t="shared" si="15"/>
        <v>0</v>
      </c>
      <c r="S41" s="43">
        <f t="shared" si="15"/>
        <v>0</v>
      </c>
      <c r="T41" s="43">
        <f t="shared" si="15"/>
        <v>0</v>
      </c>
      <c r="U41" s="16">
        <f>SUM(U14:U39)</f>
        <v>0</v>
      </c>
      <c r="V41" s="97">
        <f>IFERROR(U41/P41,0)</f>
        <v>0</v>
      </c>
      <c r="W41" s="49">
        <f>SUM(W14:W39)</f>
        <v>961</v>
      </c>
      <c r="X41" s="45">
        <f t="shared" ref="X41:AA41" si="16">SUM(X14:X39)</f>
        <v>133</v>
      </c>
      <c r="Y41" s="45">
        <f t="shared" si="16"/>
        <v>940</v>
      </c>
      <c r="Z41" s="43">
        <f t="shared" si="16"/>
        <v>21</v>
      </c>
      <c r="AA41" s="43">
        <f t="shared" si="16"/>
        <v>828</v>
      </c>
      <c r="AB41" s="44">
        <f>SUM(AB14:AB39)</f>
        <v>124</v>
      </c>
      <c r="AC41" s="95">
        <f>IFERROR(AB41/W41,0)</f>
        <v>0.12903225806451613</v>
      </c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</row>
    <row r="42" spans="1:74" s="34" customFormat="1" x14ac:dyDescent="0.55000000000000004">
      <c r="A42" s="19" t="s">
        <v>17</v>
      </c>
      <c r="B42" s="53">
        <v>10624</v>
      </c>
      <c r="C42" s="46">
        <v>1878</v>
      </c>
      <c r="D42" s="46">
        <v>10410</v>
      </c>
      <c r="E42" s="88">
        <f>B42-D42</f>
        <v>214</v>
      </c>
      <c r="F42" s="88">
        <f>B42-C42</f>
        <v>8746</v>
      </c>
      <c r="G42" s="46">
        <v>775</v>
      </c>
      <c r="H42" s="87"/>
      <c r="I42" s="53">
        <v>2840</v>
      </c>
      <c r="J42" s="46">
        <v>994</v>
      </c>
      <c r="K42" s="46">
        <v>2840</v>
      </c>
      <c r="L42" s="88">
        <f>I42-K42</f>
        <v>0</v>
      </c>
      <c r="M42" s="88">
        <f>I42-J42</f>
        <v>1846</v>
      </c>
      <c r="N42" s="46">
        <v>187</v>
      </c>
      <c r="O42" s="87"/>
      <c r="P42" s="19"/>
      <c r="Q42" s="19"/>
      <c r="R42" s="19"/>
      <c r="S42" s="88">
        <f>P42-R42</f>
        <v>0</v>
      </c>
      <c r="T42" s="88">
        <f>P42-Q42</f>
        <v>0</v>
      </c>
      <c r="U42" s="19"/>
      <c r="V42" s="87"/>
      <c r="W42" s="53">
        <v>961</v>
      </c>
      <c r="X42" s="46">
        <v>133</v>
      </c>
      <c r="Y42" s="46">
        <v>940</v>
      </c>
      <c r="Z42" s="88">
        <f>W42-Y42</f>
        <v>21</v>
      </c>
      <c r="AA42" s="88">
        <f>W42-X42</f>
        <v>828</v>
      </c>
      <c r="AB42" s="46">
        <v>124</v>
      </c>
      <c r="AC42" s="87"/>
    </row>
    <row r="43" spans="1:74" x14ac:dyDescent="0.55000000000000004">
      <c r="B43" s="50"/>
      <c r="C43" s="45"/>
      <c r="D43" s="45"/>
      <c r="E43" s="45"/>
      <c r="F43" s="45"/>
      <c r="G43" s="45"/>
      <c r="H43" s="51"/>
      <c r="I43" s="50"/>
      <c r="J43" s="45"/>
      <c r="K43" s="45"/>
      <c r="L43" s="45"/>
      <c r="M43" s="45"/>
      <c r="N43" s="45"/>
      <c r="O43" s="51"/>
      <c r="W43" s="50"/>
      <c r="X43" s="45"/>
      <c r="Y43" s="45"/>
      <c r="Z43" s="45"/>
      <c r="AA43" s="45"/>
      <c r="AB43" s="45"/>
      <c r="AC43" s="51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</row>
    <row r="44" spans="1:74" x14ac:dyDescent="0.55000000000000004">
      <c r="B44" s="50"/>
      <c r="C44" s="45"/>
      <c r="D44" s="45"/>
      <c r="E44" s="45"/>
      <c r="F44" s="45"/>
      <c r="G44" s="77"/>
      <c r="H44" s="81"/>
      <c r="I44" s="50"/>
      <c r="J44" s="45"/>
      <c r="K44" s="45"/>
      <c r="L44" s="45"/>
      <c r="M44" s="45"/>
      <c r="N44" s="77"/>
      <c r="O44" s="81"/>
      <c r="S44" s="45"/>
      <c r="T44" s="45"/>
      <c r="U44" s="77"/>
      <c r="V44" s="81"/>
      <c r="W44" s="50"/>
      <c r="X44" s="45"/>
      <c r="Y44" s="45"/>
      <c r="Z44" s="45"/>
      <c r="AA44" s="45"/>
      <c r="AB44" s="77"/>
      <c r="AC44" s="81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</row>
    <row r="45" spans="1:74" x14ac:dyDescent="0.55000000000000004">
      <c r="B45" s="50"/>
      <c r="C45" s="45"/>
      <c r="D45" s="45"/>
      <c r="E45" s="45"/>
      <c r="F45" s="45"/>
      <c r="G45" s="73"/>
      <c r="H45" s="74"/>
      <c r="I45" s="50"/>
      <c r="J45" s="45"/>
      <c r="K45" s="45"/>
      <c r="L45" s="45"/>
      <c r="M45" s="45"/>
      <c r="N45" s="73"/>
      <c r="O45" s="74"/>
      <c r="S45" s="45"/>
      <c r="T45" s="45"/>
      <c r="U45" s="73"/>
      <c r="V45" s="74"/>
      <c r="W45" s="50"/>
      <c r="X45" s="45"/>
      <c r="Y45" s="45"/>
      <c r="Z45" s="45"/>
      <c r="AA45" s="45"/>
      <c r="AB45" s="73"/>
      <c r="AC45" s="74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</row>
    <row r="46" spans="1:74" x14ac:dyDescent="0.55000000000000004">
      <c r="A46" s="1"/>
      <c r="B46" s="50"/>
      <c r="C46" s="62"/>
      <c r="D46" s="62"/>
      <c r="E46" s="62"/>
      <c r="F46" s="62"/>
      <c r="G46" s="77"/>
      <c r="H46" s="78"/>
      <c r="I46" s="50"/>
      <c r="J46" s="45"/>
      <c r="K46" s="45"/>
      <c r="L46" s="62"/>
      <c r="M46" s="62"/>
      <c r="N46" s="77"/>
      <c r="O46" s="78"/>
      <c r="S46" s="62"/>
      <c r="T46" s="62"/>
      <c r="U46" s="77"/>
      <c r="V46" s="78"/>
      <c r="W46" s="50"/>
      <c r="X46" s="45"/>
      <c r="Y46" s="45"/>
      <c r="Z46" s="62"/>
      <c r="AA46" s="62"/>
      <c r="AB46" s="77"/>
      <c r="AC46" s="7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</row>
    <row r="47" spans="1:74" x14ac:dyDescent="0.55000000000000004">
      <c r="B47" s="63"/>
      <c r="C47" s="62"/>
      <c r="D47" s="62"/>
      <c r="E47" s="62"/>
      <c r="F47" s="62"/>
      <c r="G47" s="45"/>
      <c r="H47" s="52"/>
      <c r="I47" s="50"/>
      <c r="J47" s="45"/>
      <c r="K47" s="45"/>
      <c r="L47" s="62"/>
      <c r="M47" s="62"/>
      <c r="N47" s="45"/>
      <c r="O47" s="52"/>
      <c r="S47" s="62"/>
      <c r="T47" s="62"/>
      <c r="U47" s="45"/>
      <c r="V47" s="52"/>
      <c r="W47" s="50"/>
      <c r="X47" s="45"/>
      <c r="Y47" s="45"/>
      <c r="Z47" s="62"/>
      <c r="AA47" s="62"/>
      <c r="AB47" s="45"/>
      <c r="AC47" s="52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</row>
    <row r="48" spans="1:74" x14ac:dyDescent="0.55000000000000004">
      <c r="B48" s="50"/>
      <c r="C48" s="45"/>
      <c r="D48" s="45"/>
      <c r="E48" s="45"/>
      <c r="F48" s="45"/>
      <c r="G48" s="45"/>
      <c r="H48" s="51"/>
      <c r="I48" s="50"/>
      <c r="J48" s="45"/>
      <c r="K48" s="45"/>
      <c r="L48" s="45"/>
      <c r="M48" s="45"/>
      <c r="N48" s="45"/>
      <c r="O48" s="51"/>
      <c r="W48" s="50"/>
      <c r="X48" s="45"/>
      <c r="Y48" s="45"/>
      <c r="Z48" s="45"/>
      <c r="AA48" s="45"/>
      <c r="AB48" s="45"/>
      <c r="AC48" s="51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</row>
    <row r="49" spans="1:74" x14ac:dyDescent="0.55000000000000004">
      <c r="A49" s="30" t="s">
        <v>8</v>
      </c>
      <c r="B49" s="64">
        <v>9984</v>
      </c>
      <c r="C49" s="77">
        <v>1686</v>
      </c>
      <c r="D49" s="77">
        <v>9785</v>
      </c>
      <c r="E49" s="85"/>
      <c r="F49" s="85"/>
      <c r="G49" s="56">
        <v>649</v>
      </c>
      <c r="H49" s="106">
        <f>G49/G41</f>
        <v>0.83741935483870966</v>
      </c>
      <c r="I49" s="50">
        <v>2624</v>
      </c>
      <c r="J49" s="55">
        <v>930</v>
      </c>
      <c r="K49" s="55">
        <v>2624</v>
      </c>
      <c r="L49" s="85"/>
      <c r="M49" s="85"/>
      <c r="N49" s="56">
        <v>164</v>
      </c>
      <c r="O49" s="106">
        <f>N49/N41</f>
        <v>0.87700534759358284</v>
      </c>
      <c r="Q49" s="8"/>
      <c r="R49" s="8"/>
      <c r="S49" s="85"/>
      <c r="T49" s="85"/>
      <c r="U49" s="25"/>
      <c r="V49" s="111" t="e">
        <f>U49/U41</f>
        <v>#DIV/0!</v>
      </c>
      <c r="W49" s="50">
        <v>4</v>
      </c>
      <c r="Y49" s="55">
        <v>4</v>
      </c>
      <c r="Z49" s="85"/>
      <c r="AA49" s="85"/>
      <c r="AB49" s="56"/>
      <c r="AC49" s="106">
        <f>AB49/AB41</f>
        <v>0</v>
      </c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</row>
    <row r="50" spans="1:74" x14ac:dyDescent="0.55000000000000004">
      <c r="A50" s="30" t="s">
        <v>4</v>
      </c>
      <c r="B50" s="64">
        <v>440</v>
      </c>
      <c r="C50" s="77">
        <v>118</v>
      </c>
      <c r="D50" s="77">
        <v>428</v>
      </c>
      <c r="E50" s="85"/>
      <c r="F50" s="85"/>
      <c r="G50" s="56">
        <v>114</v>
      </c>
      <c r="H50" s="107">
        <f>G50/G41</f>
        <v>0.14709677419354839</v>
      </c>
      <c r="I50" s="50">
        <v>32</v>
      </c>
      <c r="J50" s="55">
        <v>35</v>
      </c>
      <c r="K50" s="55">
        <v>32</v>
      </c>
      <c r="L50" s="85"/>
      <c r="M50" s="85"/>
      <c r="N50" s="56">
        <v>21</v>
      </c>
      <c r="O50" s="107">
        <f>N50/N41</f>
        <v>0.11229946524064172</v>
      </c>
      <c r="P50" s="12"/>
      <c r="Q50" s="12"/>
      <c r="R50" s="12"/>
      <c r="S50" s="85"/>
      <c r="T50" s="85"/>
      <c r="U50" s="25"/>
      <c r="V50" s="112" t="e">
        <f>U50/U41</f>
        <v>#DIV/0!</v>
      </c>
      <c r="W50" s="89">
        <f>19+873</f>
        <v>892</v>
      </c>
      <c r="X50" s="55">
        <f>3+117</f>
        <v>120</v>
      </c>
      <c r="Y50" s="90">
        <f>18+855</f>
        <v>873</v>
      </c>
      <c r="Z50" s="85"/>
      <c r="AA50" s="85"/>
      <c r="AB50" s="56">
        <f>3+111</f>
        <v>114</v>
      </c>
      <c r="AC50" s="107">
        <f>AB50/AB41</f>
        <v>0.91935483870967738</v>
      </c>
      <c r="AD50" s="12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</row>
    <row r="51" spans="1:74" x14ac:dyDescent="0.55000000000000004">
      <c r="A51" s="30" t="s">
        <v>9</v>
      </c>
      <c r="B51" s="64">
        <v>84</v>
      </c>
      <c r="C51" s="77">
        <v>35</v>
      </c>
      <c r="D51" s="77">
        <v>81</v>
      </c>
      <c r="E51" s="85"/>
      <c r="F51" s="85"/>
      <c r="G51" s="56">
        <v>3</v>
      </c>
      <c r="H51" s="108">
        <f>G51/G41</f>
        <v>3.8709677419354839E-3</v>
      </c>
      <c r="I51" s="50">
        <v>161</v>
      </c>
      <c r="J51" s="55">
        <v>27</v>
      </c>
      <c r="K51" s="55">
        <v>161</v>
      </c>
      <c r="L51" s="85"/>
      <c r="M51" s="85"/>
      <c r="N51" s="61">
        <v>1</v>
      </c>
      <c r="O51" s="119">
        <f>N51/N41</f>
        <v>5.3475935828877002E-3</v>
      </c>
      <c r="P51" s="8"/>
      <c r="Q51" s="8"/>
      <c r="R51" s="8"/>
      <c r="S51" s="85"/>
      <c r="T51" s="85"/>
      <c r="U51" s="25"/>
      <c r="V51" s="121" t="e">
        <f>U51/U41</f>
        <v>#DIV/0!</v>
      </c>
      <c r="W51" s="50"/>
      <c r="X51" s="55"/>
      <c r="Y51" s="55"/>
      <c r="Z51" s="85"/>
      <c r="AA51" s="85"/>
      <c r="AB51" s="56"/>
      <c r="AC51" s="108">
        <f>AB51/AB41</f>
        <v>0</v>
      </c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</row>
    <row r="52" spans="1:74" x14ac:dyDescent="0.55000000000000004">
      <c r="A52" s="27" t="s">
        <v>18</v>
      </c>
      <c r="B52" s="82">
        <f>86+14+8+8</f>
        <v>116</v>
      </c>
      <c r="C52" s="83">
        <f>35+4</f>
        <v>39</v>
      </c>
      <c r="D52" s="83">
        <f>86+14+8+8</f>
        <v>116</v>
      </c>
      <c r="E52" s="85"/>
      <c r="F52" s="85"/>
      <c r="G52" s="83">
        <f>9</f>
        <v>9</v>
      </c>
      <c r="H52" s="109">
        <f>1-SUM(H49:H51)</f>
        <v>1.1612903225806437E-2</v>
      </c>
      <c r="I52" s="82">
        <f>58+0</f>
        <v>58</v>
      </c>
      <c r="J52" s="83">
        <f>4+0</f>
        <v>4</v>
      </c>
      <c r="K52" s="83">
        <f>58+0</f>
        <v>58</v>
      </c>
      <c r="L52" s="85"/>
      <c r="M52" s="85"/>
      <c r="N52" s="84">
        <f>4+0</f>
        <v>4</v>
      </c>
      <c r="O52" s="120">
        <f>1-SUM(O49:O51)</f>
        <v>5.3475935828877219E-3</v>
      </c>
      <c r="P52" s="33"/>
      <c r="Q52" s="33"/>
      <c r="R52" s="33"/>
      <c r="S52" s="85"/>
      <c r="T52" s="85"/>
      <c r="U52" s="33"/>
      <c r="V52" s="122" t="e">
        <f>1-SUM(V49:V51)</f>
        <v>#DIV/0!</v>
      </c>
      <c r="W52" s="82">
        <f>38+2+12+1+3+4+1+4</f>
        <v>65</v>
      </c>
      <c r="X52" s="83">
        <f>1+2</f>
        <v>3</v>
      </c>
      <c r="Y52" s="83">
        <f>2+12+1+3+4+1+4</f>
        <v>27</v>
      </c>
      <c r="Z52" s="85"/>
      <c r="AA52" s="85"/>
      <c r="AB52" s="83">
        <f>3</f>
        <v>3</v>
      </c>
      <c r="AC52" s="109">
        <f>1-SUM(AC49:AC51)</f>
        <v>8.064516129032262E-2</v>
      </c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</row>
    <row r="53" spans="1:74" x14ac:dyDescent="0.55000000000000004">
      <c r="A53" s="1" t="s">
        <v>7</v>
      </c>
      <c r="B53" s="64">
        <f>SUM(B49:B52)</f>
        <v>10624</v>
      </c>
      <c r="C53" s="32">
        <f>SUM(C49:C52)</f>
        <v>1878</v>
      </c>
      <c r="D53" s="32">
        <f>SUM(D49:D52)</f>
        <v>10410</v>
      </c>
      <c r="E53" s="85"/>
      <c r="F53" s="85"/>
      <c r="G53" s="77">
        <f>SUM(G49:G52)</f>
        <v>775</v>
      </c>
      <c r="H53" s="110">
        <f>SUM(H49:H52)</f>
        <v>1</v>
      </c>
      <c r="I53" s="64">
        <f>SUM(I49:I52)</f>
        <v>2875</v>
      </c>
      <c r="J53" s="77">
        <f>SUM(J49:J52)</f>
        <v>996</v>
      </c>
      <c r="K53" s="77">
        <f>SUM(K49:K52)</f>
        <v>2875</v>
      </c>
      <c r="L53" s="85"/>
      <c r="M53" s="85"/>
      <c r="N53" s="77">
        <f>SUM(N49:N52)</f>
        <v>190</v>
      </c>
      <c r="O53" s="96">
        <f>SUM(O49:O52)</f>
        <v>1</v>
      </c>
      <c r="P53" s="32">
        <f>SUM(P49:P52)</f>
        <v>0</v>
      </c>
      <c r="Q53" s="32">
        <f>SUM(Q49:Q52)</f>
        <v>0</v>
      </c>
      <c r="R53" s="32">
        <f>SUM(R49:R52)</f>
        <v>0</v>
      </c>
      <c r="S53" s="85"/>
      <c r="T53" s="85"/>
      <c r="U53" s="32">
        <f>SUM(U49:U52)</f>
        <v>0</v>
      </c>
      <c r="V53" s="99" t="e">
        <f>SUM(V49:V52)</f>
        <v>#DIV/0!</v>
      </c>
      <c r="W53" s="64">
        <f>SUM(W49:W52)</f>
        <v>961</v>
      </c>
      <c r="X53" s="77">
        <f>SUM(X49:X52)</f>
        <v>123</v>
      </c>
      <c r="Y53" s="77">
        <f>SUM(Y49:Y52)</f>
        <v>904</v>
      </c>
      <c r="Z53" s="85"/>
      <c r="AA53" s="85"/>
      <c r="AB53" s="77">
        <f>SUM(AB49:AB52)</f>
        <v>117</v>
      </c>
      <c r="AC53" s="96">
        <f>SUM(AC49:AC52)</f>
        <v>1</v>
      </c>
      <c r="AD53" s="34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</row>
    <row r="54" spans="1:74" x14ac:dyDescent="0.55000000000000004">
      <c r="A54" s="19" t="s">
        <v>17</v>
      </c>
      <c r="B54" s="53">
        <f>B42</f>
        <v>10624</v>
      </c>
      <c r="C54" s="46">
        <f t="shared" ref="C54:G54" si="17">C42</f>
        <v>1878</v>
      </c>
      <c r="D54" s="46">
        <f t="shared" si="17"/>
        <v>10410</v>
      </c>
      <c r="E54" s="85"/>
      <c r="F54" s="85"/>
      <c r="G54" s="46">
        <f t="shared" si="17"/>
        <v>775</v>
      </c>
      <c r="H54" s="68">
        <v>1</v>
      </c>
      <c r="I54" s="53">
        <f>I42</f>
        <v>2840</v>
      </c>
      <c r="J54" s="46">
        <f t="shared" ref="J54:N54" si="18">J42</f>
        <v>994</v>
      </c>
      <c r="K54" s="46">
        <f t="shared" si="18"/>
        <v>2840</v>
      </c>
      <c r="L54" s="85"/>
      <c r="M54" s="85"/>
      <c r="N54" s="46">
        <f t="shared" si="18"/>
        <v>187</v>
      </c>
      <c r="O54" s="60">
        <v>1</v>
      </c>
      <c r="P54" s="19">
        <f>P42</f>
        <v>0</v>
      </c>
      <c r="Q54" s="19">
        <f t="shared" ref="Q54:U54" si="19">Q42</f>
        <v>0</v>
      </c>
      <c r="R54" s="19">
        <f t="shared" si="19"/>
        <v>0</v>
      </c>
      <c r="S54" s="85"/>
      <c r="T54" s="85"/>
      <c r="U54" s="19">
        <f t="shared" si="19"/>
        <v>0</v>
      </c>
      <c r="V54" s="31">
        <v>1</v>
      </c>
      <c r="W54" s="53">
        <f>W42</f>
        <v>961</v>
      </c>
      <c r="X54" s="46">
        <f t="shared" ref="X54:AB54" si="20">X42</f>
        <v>133</v>
      </c>
      <c r="Y54" s="46">
        <f t="shared" si="20"/>
        <v>940</v>
      </c>
      <c r="Z54" s="85"/>
      <c r="AA54" s="85"/>
      <c r="AB54" s="46">
        <f t="shared" si="20"/>
        <v>124</v>
      </c>
      <c r="AC54" s="60">
        <v>1</v>
      </c>
      <c r="AD54" s="34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</row>
    <row r="55" spans="1:74" x14ac:dyDescent="0.55000000000000004">
      <c r="B55" s="7"/>
      <c r="C55" s="7"/>
      <c r="D55" s="7"/>
      <c r="E55" s="7"/>
      <c r="F55" s="7"/>
      <c r="G55" s="8"/>
      <c r="H55" s="9"/>
      <c r="I55" s="8"/>
      <c r="J55" s="8"/>
      <c r="K55" s="8"/>
      <c r="L55" s="8"/>
      <c r="M55" s="8"/>
      <c r="N55" s="8"/>
      <c r="O55" s="9"/>
      <c r="P55" s="8"/>
      <c r="Q55" s="8"/>
      <c r="R55" s="8"/>
      <c r="S55" s="8"/>
      <c r="T55" s="8"/>
      <c r="U55" s="8"/>
      <c r="V55" s="9"/>
      <c r="X55" s="8"/>
      <c r="Y55" s="8"/>
      <c r="Z55" s="8"/>
      <c r="AA55" s="8"/>
      <c r="AB55" s="8"/>
      <c r="AD55" s="71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</row>
    <row r="56" spans="1:74" x14ac:dyDescent="0.55000000000000004">
      <c r="AD56" s="71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</row>
    <row r="57" spans="1:74" x14ac:dyDescent="0.55000000000000004"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</row>
    <row r="58" spans="1:74" x14ac:dyDescent="0.55000000000000004"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</row>
  </sheetData>
  <mergeCells count="6">
    <mergeCell ref="A10:AC10"/>
    <mergeCell ref="A11:AC11"/>
    <mergeCell ref="B13:H13"/>
    <mergeCell ref="I13:O13"/>
    <mergeCell ref="P13:V13"/>
    <mergeCell ref="W13:AC13"/>
  </mergeCells>
  <pageMargins left="0.7" right="0.7" top="0.78740157499999996" bottom="0.78740157499999996" header="0.3" footer="0.3"/>
  <pageSetup paperSize="9" orientation="portrait" r:id="rId1"/>
  <ignoredErrors>
    <ignoredError sqref="O41 H41 C52 V41 J52" formula="1"/>
  </ignoredError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full Text</vt:lpstr>
      <vt:lpstr>Metadata, Title, Keywords &amp; Abs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2023-09-01T14:22:26Z</dcterms:modified>
</cp:coreProperties>
</file>